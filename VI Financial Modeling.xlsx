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ounika/Desktop/Assignments/VI Financial Modeling/"/>
    </mc:Choice>
  </mc:AlternateContent>
  <xr:revisionPtr revIDLastSave="0" documentId="13_ncr:1_{6F533360-F8B0-A14B-BD8E-9E6576008243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3 Statement Model" sheetId="9" r:id="rId1"/>
    <sheet name="Notes" sheetId="1" r:id="rId2"/>
    <sheet name="Balance Sheet" sheetId="2" r:id="rId3"/>
    <sheet name="Profit and Loss" sheetId="3" r:id="rId4"/>
    <sheet name="Cash Flows" sheetId="4" r:id="rId5"/>
    <sheet name="Changes in Equity" sheetId="5" r:id="rId6"/>
    <sheet name="Financing Liabilities" sheetId="6" r:id="rId7"/>
    <sheet name="Tie-out" sheetId="7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8" i="9" l="1"/>
  <c r="E138" i="9"/>
  <c r="D138" i="9"/>
  <c r="C138" i="9"/>
  <c r="F133" i="9"/>
  <c r="E133" i="9"/>
  <c r="D133" i="9"/>
  <c r="C133" i="9"/>
  <c r="F132" i="9"/>
  <c r="E132" i="9"/>
  <c r="D132" i="9"/>
  <c r="C132" i="9"/>
  <c r="F131" i="9"/>
  <c r="F135" i="9" s="1"/>
  <c r="E131" i="9"/>
  <c r="E135" i="9" s="1"/>
  <c r="D131" i="9"/>
  <c r="D135" i="9" s="1"/>
  <c r="C131" i="9"/>
  <c r="C135" i="9" s="1"/>
  <c r="F128" i="9"/>
  <c r="E128" i="9"/>
  <c r="F127" i="9"/>
  <c r="E127" i="9"/>
  <c r="D127" i="9"/>
  <c r="F126" i="9"/>
  <c r="E126" i="9"/>
  <c r="D126" i="9"/>
  <c r="D128" i="9" s="1"/>
  <c r="C126" i="9"/>
  <c r="C128" i="9" s="1"/>
  <c r="F122" i="9"/>
  <c r="E122" i="9"/>
  <c r="D122" i="9"/>
  <c r="C122" i="9"/>
  <c r="F121" i="9"/>
  <c r="E121" i="9"/>
  <c r="D121" i="9"/>
  <c r="C121" i="9"/>
  <c r="F120" i="9"/>
  <c r="E120" i="9"/>
  <c r="D120" i="9"/>
  <c r="C120" i="9"/>
  <c r="F119" i="9"/>
  <c r="E119" i="9"/>
  <c r="D119" i="9"/>
  <c r="C119" i="9"/>
  <c r="F118" i="9"/>
  <c r="E118" i="9"/>
  <c r="D118" i="9"/>
  <c r="C118" i="9"/>
  <c r="F106" i="9"/>
  <c r="E106" i="9"/>
  <c r="D106" i="9"/>
  <c r="C106" i="9"/>
  <c r="F105" i="9"/>
  <c r="F107" i="9" s="1"/>
  <c r="E105" i="9"/>
  <c r="E107" i="9" s="1"/>
  <c r="D105" i="9"/>
  <c r="D107" i="9" s="1"/>
  <c r="D109" i="9" s="1"/>
  <c r="C105" i="9"/>
  <c r="C107" i="9" s="1"/>
  <c r="C109" i="9" s="1"/>
  <c r="C111" i="9" s="1"/>
  <c r="C102" i="9"/>
  <c r="F101" i="9"/>
  <c r="E101" i="9"/>
  <c r="D101" i="9"/>
  <c r="D102" i="9" s="1"/>
  <c r="C101" i="9"/>
  <c r="F100" i="9"/>
  <c r="G100" i="9" s="1"/>
  <c r="H100" i="9" s="1"/>
  <c r="I100" i="9" s="1"/>
  <c r="J100" i="9" s="1"/>
  <c r="K100" i="9" s="1"/>
  <c r="E100" i="9"/>
  <c r="D100" i="9"/>
  <c r="C100" i="9"/>
  <c r="F99" i="9"/>
  <c r="E99" i="9"/>
  <c r="D99" i="9"/>
  <c r="C99" i="9"/>
  <c r="F98" i="9"/>
  <c r="F102" i="9" s="1"/>
  <c r="E98" i="9"/>
  <c r="D98" i="9"/>
  <c r="C98" i="9"/>
  <c r="F97" i="9"/>
  <c r="E97" i="9"/>
  <c r="D97" i="9"/>
  <c r="C97" i="9"/>
  <c r="F96" i="9"/>
  <c r="E96" i="9"/>
  <c r="E102" i="9" s="1"/>
  <c r="D96" i="9"/>
  <c r="C96" i="9"/>
  <c r="F91" i="9"/>
  <c r="E91" i="9"/>
  <c r="D91" i="9"/>
  <c r="C91" i="9"/>
  <c r="G90" i="9"/>
  <c r="H90" i="9" s="1"/>
  <c r="I90" i="9" s="1"/>
  <c r="J90" i="9" s="1"/>
  <c r="K90" i="9" s="1"/>
  <c r="F90" i="9"/>
  <c r="E90" i="9"/>
  <c r="D90" i="9"/>
  <c r="C90" i="9"/>
  <c r="F89" i="9"/>
  <c r="E89" i="9"/>
  <c r="D89" i="9"/>
  <c r="C89" i="9"/>
  <c r="F88" i="9"/>
  <c r="G88" i="9" s="1"/>
  <c r="H88" i="9" s="1"/>
  <c r="I88" i="9" s="1"/>
  <c r="J88" i="9" s="1"/>
  <c r="K88" i="9" s="1"/>
  <c r="E88" i="9"/>
  <c r="D88" i="9"/>
  <c r="C88" i="9"/>
  <c r="F87" i="9"/>
  <c r="E87" i="9"/>
  <c r="D87" i="9"/>
  <c r="C87" i="9"/>
  <c r="F86" i="9"/>
  <c r="E86" i="9"/>
  <c r="D86" i="9"/>
  <c r="C86" i="9"/>
  <c r="F85" i="9"/>
  <c r="E85" i="9"/>
  <c r="D85" i="9"/>
  <c r="C85" i="9"/>
  <c r="C92" i="9" s="1"/>
  <c r="F84" i="9"/>
  <c r="F92" i="9" s="1"/>
  <c r="E84" i="9"/>
  <c r="E92" i="9" s="1"/>
  <c r="D84" i="9"/>
  <c r="D92" i="9" s="1"/>
  <c r="C84" i="9"/>
  <c r="C81" i="9"/>
  <c r="C115" i="9" s="1"/>
  <c r="F66" i="9"/>
  <c r="E66" i="9"/>
  <c r="D66" i="9"/>
  <c r="C66" i="9"/>
  <c r="I63" i="9"/>
  <c r="J63" i="9" s="1"/>
  <c r="K63" i="9" s="1"/>
  <c r="H63" i="9"/>
  <c r="G63" i="9"/>
  <c r="G62" i="9"/>
  <c r="H62" i="9" s="1"/>
  <c r="I62" i="9" s="1"/>
  <c r="J62" i="9" s="1"/>
  <c r="K62" i="9" s="1"/>
  <c r="F60" i="9"/>
  <c r="E60" i="9"/>
  <c r="D60" i="9"/>
  <c r="C60" i="9"/>
  <c r="F53" i="9"/>
  <c r="G53" i="9" s="1"/>
  <c r="E53" i="9"/>
  <c r="E58" i="9" s="1"/>
  <c r="E69" i="9" s="1"/>
  <c r="D53" i="9"/>
  <c r="D58" i="9" s="1"/>
  <c r="D69" i="9" s="1"/>
  <c r="C53" i="9"/>
  <c r="C58" i="9" s="1"/>
  <c r="C69" i="9" s="1"/>
  <c r="D49" i="9"/>
  <c r="D81" i="9" s="1"/>
  <c r="D115" i="9" s="1"/>
  <c r="F38" i="9"/>
  <c r="G38" i="9" s="1"/>
  <c r="H38" i="9" s="1"/>
  <c r="I38" i="9" s="1"/>
  <c r="J38" i="9" s="1"/>
  <c r="K38" i="9" s="1"/>
  <c r="E38" i="9"/>
  <c r="D38" i="9"/>
  <c r="C38" i="9"/>
  <c r="F36" i="9"/>
  <c r="E36" i="9"/>
  <c r="D36" i="9"/>
  <c r="C36" i="9"/>
  <c r="G36" i="9" s="1"/>
  <c r="H36" i="9" s="1"/>
  <c r="I36" i="9" s="1"/>
  <c r="J36" i="9" s="1"/>
  <c r="K36" i="9" s="1"/>
  <c r="F35" i="9"/>
  <c r="E35" i="9"/>
  <c r="D35" i="9"/>
  <c r="G35" i="9" s="1"/>
  <c r="C35" i="9"/>
  <c r="G34" i="9"/>
  <c r="H34" i="9" s="1"/>
  <c r="F34" i="9"/>
  <c r="E34" i="9"/>
  <c r="D34" i="9"/>
  <c r="C34" i="9"/>
  <c r="F33" i="9"/>
  <c r="E33" i="9"/>
  <c r="D33" i="9"/>
  <c r="C33" i="9"/>
  <c r="G27" i="9"/>
  <c r="H27" i="9" s="1"/>
  <c r="F27" i="9"/>
  <c r="E27" i="9"/>
  <c r="D27" i="9"/>
  <c r="G26" i="9"/>
  <c r="F26" i="9"/>
  <c r="E26" i="9"/>
  <c r="D26" i="9"/>
  <c r="G25" i="9"/>
  <c r="F25" i="9"/>
  <c r="E25" i="9"/>
  <c r="D25" i="9"/>
  <c r="G23" i="9"/>
  <c r="H23" i="9" s="1"/>
  <c r="F23" i="9"/>
  <c r="E23" i="9"/>
  <c r="D23" i="9"/>
  <c r="G22" i="9"/>
  <c r="H22" i="9" s="1"/>
  <c r="F22" i="9"/>
  <c r="E22" i="9"/>
  <c r="D22" i="9"/>
  <c r="G21" i="9"/>
  <c r="H21" i="9" s="1"/>
  <c r="F21" i="9"/>
  <c r="E21" i="9"/>
  <c r="D21" i="9"/>
  <c r="F18" i="9"/>
  <c r="E18" i="9"/>
  <c r="D18" i="9"/>
  <c r="C18" i="9"/>
  <c r="G18" i="9" s="1"/>
  <c r="G61" i="9" s="1"/>
  <c r="F9" i="9"/>
  <c r="G9" i="9" s="1"/>
  <c r="F8" i="9"/>
  <c r="E8" i="9"/>
  <c r="D8" i="9"/>
  <c r="G8" i="9" s="1"/>
  <c r="H8" i="9" s="1"/>
  <c r="I8" i="9" s="1"/>
  <c r="J8" i="9" s="1"/>
  <c r="K8" i="9" s="1"/>
  <c r="C8" i="9"/>
  <c r="F7" i="9"/>
  <c r="E7" i="9"/>
  <c r="D7" i="9"/>
  <c r="G7" i="9" s="1"/>
  <c r="H7" i="9" s="1"/>
  <c r="I7" i="9" s="1"/>
  <c r="J7" i="9" s="1"/>
  <c r="K7" i="9" s="1"/>
  <c r="C7" i="9"/>
  <c r="F6" i="9"/>
  <c r="G6" i="9" s="1"/>
  <c r="H6" i="9" s="1"/>
  <c r="I6" i="9" s="1"/>
  <c r="J6" i="9" s="1"/>
  <c r="K6" i="9" s="1"/>
  <c r="E6" i="9"/>
  <c r="D6" i="9"/>
  <c r="C6" i="9"/>
  <c r="G4" i="9"/>
  <c r="H4" i="9" s="1"/>
  <c r="I4" i="9" s="1"/>
  <c r="J4" i="9" s="1"/>
  <c r="K4" i="9" s="1"/>
  <c r="F4" i="9"/>
  <c r="E4" i="9"/>
  <c r="D4" i="9"/>
  <c r="D2" i="9"/>
  <c r="C2" i="9"/>
  <c r="J12" i="3"/>
  <c r="L27" i="2"/>
  <c r="I27" i="2"/>
  <c r="J27" i="2"/>
  <c r="K27" i="2"/>
  <c r="H27" i="2"/>
  <c r="I35" i="4"/>
  <c r="J35" i="4"/>
  <c r="K35" i="4"/>
  <c r="H35" i="4"/>
  <c r="I59" i="4"/>
  <c r="J59" i="4"/>
  <c r="K59" i="4"/>
  <c r="H59" i="4"/>
  <c r="I58" i="4"/>
  <c r="J58" i="4"/>
  <c r="K58" i="4"/>
  <c r="H58" i="4"/>
  <c r="I57" i="4"/>
  <c r="J57" i="4"/>
  <c r="K57" i="4"/>
  <c r="H57" i="4"/>
  <c r="I40" i="4"/>
  <c r="J40" i="4"/>
  <c r="K40" i="4"/>
  <c r="H40" i="4"/>
  <c r="I39" i="4"/>
  <c r="J39" i="4"/>
  <c r="K39" i="4"/>
  <c r="H39" i="4"/>
  <c r="I13" i="4"/>
  <c r="J13" i="4"/>
  <c r="K13" i="4"/>
  <c r="H13" i="4"/>
  <c r="I29" i="4"/>
  <c r="J29" i="4"/>
  <c r="K29" i="4"/>
  <c r="H29" i="4"/>
  <c r="I12" i="4"/>
  <c r="J12" i="4"/>
  <c r="K12" i="4"/>
  <c r="H12" i="4"/>
  <c r="I63" i="2"/>
  <c r="J63" i="2"/>
  <c r="K63" i="2"/>
  <c r="H63" i="2"/>
  <c r="I49" i="2"/>
  <c r="J49" i="2"/>
  <c r="K49" i="2"/>
  <c r="H49" i="2"/>
  <c r="I47" i="2"/>
  <c r="J47" i="2"/>
  <c r="K47" i="2"/>
  <c r="H47" i="2"/>
  <c r="I43" i="2"/>
  <c r="J43" i="2"/>
  <c r="K43" i="2"/>
  <c r="H43" i="2"/>
  <c r="I48" i="2"/>
  <c r="J48" i="2"/>
  <c r="K48" i="2"/>
  <c r="H48" i="2"/>
  <c r="I45" i="2"/>
  <c r="J45" i="2"/>
  <c r="K45" i="2"/>
  <c r="H45" i="2"/>
  <c r="I46" i="2"/>
  <c r="J46" i="2"/>
  <c r="K46" i="2"/>
  <c r="H46" i="2"/>
  <c r="I17" i="2"/>
  <c r="J17" i="2"/>
  <c r="K17" i="2"/>
  <c r="H17" i="2"/>
  <c r="I14" i="2"/>
  <c r="J14" i="2"/>
  <c r="K14" i="2"/>
  <c r="H14" i="2"/>
  <c r="I16" i="2"/>
  <c r="J16" i="2"/>
  <c r="K16" i="2"/>
  <c r="H16" i="2"/>
  <c r="I31" i="2"/>
  <c r="J31" i="2"/>
  <c r="K31" i="2"/>
  <c r="H31" i="2"/>
  <c r="I10" i="2"/>
  <c r="J10" i="2"/>
  <c r="K10" i="2"/>
  <c r="H10" i="2"/>
  <c r="I21" i="2"/>
  <c r="J21" i="2"/>
  <c r="K21" i="2"/>
  <c r="H21" i="2"/>
  <c r="I24" i="2"/>
  <c r="J24" i="2"/>
  <c r="K24" i="2"/>
  <c r="H24" i="2"/>
  <c r="I25" i="2"/>
  <c r="J25" i="2"/>
  <c r="K25" i="2"/>
  <c r="H25" i="2"/>
  <c r="I36" i="3"/>
  <c r="J36" i="3"/>
  <c r="K36" i="3"/>
  <c r="H36" i="3"/>
  <c r="I17" i="3"/>
  <c r="J17" i="3"/>
  <c r="K17" i="3"/>
  <c r="H17" i="3"/>
  <c r="I13" i="3"/>
  <c r="J13" i="3"/>
  <c r="K13" i="3"/>
  <c r="H13" i="3"/>
  <c r="I12" i="3"/>
  <c r="K12" i="3"/>
  <c r="H12" i="3"/>
  <c r="F65" i="7"/>
  <c r="E65" i="7"/>
  <c r="D65" i="7"/>
  <c r="C65" i="7"/>
  <c r="B65" i="7"/>
  <c r="G65" i="7" s="1"/>
  <c r="F64" i="7"/>
  <c r="E64" i="7"/>
  <c r="D64" i="7"/>
  <c r="C64" i="7"/>
  <c r="B64" i="7"/>
  <c r="G64" i="7" s="1"/>
  <c r="F63" i="7"/>
  <c r="E63" i="7"/>
  <c r="D63" i="7"/>
  <c r="G63" i="7" s="1"/>
  <c r="C63" i="7"/>
  <c r="B63" i="7"/>
  <c r="F62" i="7"/>
  <c r="E62" i="7"/>
  <c r="D62" i="7"/>
  <c r="C62" i="7"/>
  <c r="B62" i="7"/>
  <c r="G62" i="7" s="1"/>
  <c r="F61" i="7"/>
  <c r="E61" i="7"/>
  <c r="D61" i="7"/>
  <c r="C61" i="7"/>
  <c r="G61" i="7" s="1"/>
  <c r="B61" i="7"/>
  <c r="F59" i="7"/>
  <c r="E59" i="7"/>
  <c r="D59" i="7"/>
  <c r="G59" i="7" s="1"/>
  <c r="C59" i="7"/>
  <c r="B59" i="7"/>
  <c r="F58" i="7"/>
  <c r="E58" i="7"/>
  <c r="D58" i="7"/>
  <c r="C58" i="7"/>
  <c r="B58" i="7"/>
  <c r="G58" i="7" s="1"/>
  <c r="F57" i="7"/>
  <c r="E57" i="7"/>
  <c r="D57" i="7"/>
  <c r="C57" i="7"/>
  <c r="B57" i="7"/>
  <c r="G57" i="7" s="1"/>
  <c r="F56" i="7"/>
  <c r="E56" i="7"/>
  <c r="D56" i="7"/>
  <c r="C56" i="7"/>
  <c r="G56" i="7" s="1"/>
  <c r="B56" i="7"/>
  <c r="F55" i="7"/>
  <c r="E55" i="7"/>
  <c r="D55" i="7"/>
  <c r="G55" i="7" s="1"/>
  <c r="C55" i="7"/>
  <c r="B55" i="7"/>
  <c r="F54" i="7"/>
  <c r="E54" i="7"/>
  <c r="D54" i="7"/>
  <c r="C54" i="7"/>
  <c r="B54" i="7"/>
  <c r="G54" i="7" s="1"/>
  <c r="F53" i="7"/>
  <c r="E53" i="7"/>
  <c r="D53" i="7"/>
  <c r="C53" i="7"/>
  <c r="B53" i="7"/>
  <c r="G53" i="7" s="1"/>
  <c r="F52" i="7"/>
  <c r="E52" i="7"/>
  <c r="D52" i="7"/>
  <c r="C52" i="7"/>
  <c r="G52" i="7" s="1"/>
  <c r="B52" i="7"/>
  <c r="F51" i="7"/>
  <c r="E51" i="7"/>
  <c r="D51" i="7"/>
  <c r="G51" i="7" s="1"/>
  <c r="C51" i="7"/>
  <c r="B51" i="7"/>
  <c r="F50" i="7"/>
  <c r="E50" i="7"/>
  <c r="D50" i="7"/>
  <c r="C50" i="7"/>
  <c r="B50" i="7"/>
  <c r="G50" i="7" s="1"/>
  <c r="F49" i="7"/>
  <c r="E49" i="7"/>
  <c r="D49" i="7"/>
  <c r="C49" i="7"/>
  <c r="B49" i="7"/>
  <c r="G49" i="7" s="1"/>
  <c r="F48" i="7"/>
  <c r="E48" i="7"/>
  <c r="D48" i="7"/>
  <c r="C48" i="7"/>
  <c r="G48" i="7" s="1"/>
  <c r="B48" i="7"/>
  <c r="F47" i="7"/>
  <c r="E47" i="7"/>
  <c r="D47" i="7"/>
  <c r="G47" i="7" s="1"/>
  <c r="C47" i="7"/>
  <c r="B47" i="7"/>
  <c r="F45" i="7"/>
  <c r="E45" i="7"/>
  <c r="D45" i="7"/>
  <c r="C45" i="7"/>
  <c r="B45" i="7"/>
  <c r="G45" i="7" s="1"/>
  <c r="F44" i="7"/>
  <c r="E44" i="7"/>
  <c r="D44" i="7"/>
  <c r="C44" i="7"/>
  <c r="B44" i="7"/>
  <c r="F43" i="7"/>
  <c r="E43" i="7"/>
  <c r="D43" i="7"/>
  <c r="C43" i="7"/>
  <c r="B43" i="7"/>
  <c r="F42" i="7"/>
  <c r="E42" i="7"/>
  <c r="D42" i="7"/>
  <c r="G42" i="7" s="1"/>
  <c r="C42" i="7"/>
  <c r="B42" i="7"/>
  <c r="F41" i="7"/>
  <c r="E41" i="7"/>
  <c r="D41" i="7"/>
  <c r="C41" i="7"/>
  <c r="B41" i="7"/>
  <c r="G41" i="7" s="1"/>
  <c r="F40" i="7"/>
  <c r="E40" i="7"/>
  <c r="D40" i="7"/>
  <c r="C40" i="7"/>
  <c r="B40" i="7"/>
  <c r="G40" i="7" s="1"/>
  <c r="F39" i="7"/>
  <c r="E39" i="7"/>
  <c r="D39" i="7"/>
  <c r="C39" i="7"/>
  <c r="B39" i="7"/>
  <c r="F38" i="7"/>
  <c r="E38" i="7"/>
  <c r="D38" i="7"/>
  <c r="G38" i="7" s="1"/>
  <c r="C38" i="7"/>
  <c r="B38" i="7"/>
  <c r="F37" i="7"/>
  <c r="E37" i="7"/>
  <c r="D37" i="7"/>
  <c r="C37" i="7"/>
  <c r="B37" i="7"/>
  <c r="G37" i="7" s="1"/>
  <c r="F36" i="7"/>
  <c r="E36" i="7"/>
  <c r="D36" i="7"/>
  <c r="C36" i="7"/>
  <c r="B36" i="7"/>
  <c r="F34" i="7"/>
  <c r="E34" i="7"/>
  <c r="D34" i="7"/>
  <c r="C34" i="7"/>
  <c r="F33" i="7"/>
  <c r="E33" i="7"/>
  <c r="D33" i="7"/>
  <c r="C33" i="7"/>
  <c r="B33" i="7"/>
  <c r="F32" i="7"/>
  <c r="E32" i="7"/>
  <c r="D32" i="7"/>
  <c r="C32" i="7"/>
  <c r="B32" i="7"/>
  <c r="F31" i="7"/>
  <c r="E31" i="7"/>
  <c r="D31" i="7"/>
  <c r="C31" i="7"/>
  <c r="B31" i="7"/>
  <c r="F30" i="7"/>
  <c r="E30" i="7"/>
  <c r="D30" i="7"/>
  <c r="C30" i="7"/>
  <c r="B30" i="7"/>
  <c r="F29" i="7"/>
  <c r="E29" i="7"/>
  <c r="D29" i="7"/>
  <c r="C29" i="7"/>
  <c r="G29" i="7" s="1"/>
  <c r="B29" i="7"/>
  <c r="F28" i="7"/>
  <c r="E28" i="7"/>
  <c r="D28" i="7"/>
  <c r="C28" i="7"/>
  <c r="B28" i="7"/>
  <c r="G26" i="7"/>
  <c r="F26" i="7"/>
  <c r="E26" i="7"/>
  <c r="D26" i="7"/>
  <c r="C26" i="7"/>
  <c r="B26" i="7"/>
  <c r="F25" i="7"/>
  <c r="E25" i="7"/>
  <c r="G25" i="7" s="1"/>
  <c r="D25" i="7"/>
  <c r="C25" i="7"/>
  <c r="B25" i="7"/>
  <c r="F24" i="7"/>
  <c r="E24" i="7"/>
  <c r="D24" i="7"/>
  <c r="C24" i="7"/>
  <c r="G24" i="7" s="1"/>
  <c r="B24" i="7"/>
  <c r="F23" i="7"/>
  <c r="E23" i="7"/>
  <c r="D23" i="7"/>
  <c r="C23" i="7"/>
  <c r="B23" i="7"/>
  <c r="F22" i="7"/>
  <c r="E22" i="7"/>
  <c r="D22" i="7"/>
  <c r="C22" i="7"/>
  <c r="B22" i="7"/>
  <c r="F21" i="7"/>
  <c r="E21" i="7"/>
  <c r="G21" i="7" s="1"/>
  <c r="D21" i="7"/>
  <c r="C21" i="7"/>
  <c r="B21" i="7"/>
  <c r="F20" i="7"/>
  <c r="E20" i="7"/>
  <c r="D20" i="7"/>
  <c r="C20" i="7"/>
  <c r="B20" i="7"/>
  <c r="F19" i="7"/>
  <c r="E19" i="7"/>
  <c r="D19" i="7"/>
  <c r="C19" i="7"/>
  <c r="B19" i="7"/>
  <c r="G19" i="7" s="1"/>
  <c r="F18" i="7"/>
  <c r="G18" i="7" s="1"/>
  <c r="E18" i="7"/>
  <c r="D18" i="7"/>
  <c r="C18" i="7"/>
  <c r="B18" i="7"/>
  <c r="F17" i="7"/>
  <c r="E17" i="7"/>
  <c r="D17" i="7"/>
  <c r="C17" i="7"/>
  <c r="B17" i="7"/>
  <c r="F15" i="7"/>
  <c r="E15" i="7"/>
  <c r="D15" i="7"/>
  <c r="C15" i="7"/>
  <c r="B15" i="7"/>
  <c r="G15" i="7" s="1"/>
  <c r="F14" i="7"/>
  <c r="E14" i="7"/>
  <c r="D14" i="7"/>
  <c r="C14" i="7"/>
  <c r="B14" i="7"/>
  <c r="G14" i="7" s="1"/>
  <c r="G13" i="7"/>
  <c r="F13" i="7"/>
  <c r="E13" i="7"/>
  <c r="D13" i="7"/>
  <c r="C13" i="7"/>
  <c r="B13" i="7"/>
  <c r="F12" i="7"/>
  <c r="E12" i="7"/>
  <c r="G12" i="7" s="1"/>
  <c r="D12" i="7"/>
  <c r="C12" i="7"/>
  <c r="B12" i="7"/>
  <c r="F11" i="7"/>
  <c r="E11" i="7"/>
  <c r="D11" i="7"/>
  <c r="C11" i="7"/>
  <c r="B11" i="7"/>
  <c r="G11" i="7" s="1"/>
  <c r="F10" i="7"/>
  <c r="E10" i="7"/>
  <c r="D10" i="7"/>
  <c r="C10" i="7"/>
  <c r="B10" i="7"/>
  <c r="F9" i="7"/>
  <c r="E9" i="7"/>
  <c r="D9" i="7"/>
  <c r="C9" i="7"/>
  <c r="B9" i="7"/>
  <c r="F8" i="7"/>
  <c r="E8" i="7"/>
  <c r="D8" i="7"/>
  <c r="C8" i="7"/>
  <c r="B8" i="7"/>
  <c r="E117" i="9" l="1"/>
  <c r="E123" i="9" s="1"/>
  <c r="E137" i="9" s="1"/>
  <c r="E139" i="9" s="1"/>
  <c r="E73" i="9"/>
  <c r="C117" i="9"/>
  <c r="C123" i="9" s="1"/>
  <c r="C137" i="9" s="1"/>
  <c r="C139" i="9" s="1"/>
  <c r="C73" i="9"/>
  <c r="I22" i="9"/>
  <c r="G96" i="9"/>
  <c r="I27" i="9"/>
  <c r="D73" i="9"/>
  <c r="D117" i="9"/>
  <c r="D123" i="9" s="1"/>
  <c r="D137" i="9" s="1"/>
  <c r="D139" i="9" s="1"/>
  <c r="G56" i="9"/>
  <c r="G86" i="9" s="1"/>
  <c r="G33" i="9"/>
  <c r="G126" i="9" s="1"/>
  <c r="G128" i="9" s="1"/>
  <c r="H53" i="9"/>
  <c r="G57" i="9"/>
  <c r="G97" i="9" s="1"/>
  <c r="G68" i="9" s="1"/>
  <c r="G55" i="9"/>
  <c r="G119" i="9"/>
  <c r="G65" i="9" s="1"/>
  <c r="H35" i="9"/>
  <c r="D111" i="9"/>
  <c r="I23" i="9"/>
  <c r="E109" i="9"/>
  <c r="E111" i="9" s="1"/>
  <c r="G60" i="9"/>
  <c r="H61" i="9"/>
  <c r="F109" i="9"/>
  <c r="F111" i="9" s="1"/>
  <c r="I34" i="9"/>
  <c r="H9" i="9"/>
  <c r="I21" i="9"/>
  <c r="E49" i="9"/>
  <c r="F58" i="9"/>
  <c r="F69" i="9" s="1"/>
  <c r="G138" i="9"/>
  <c r="G85" i="9"/>
  <c r="G101" i="9"/>
  <c r="G118" i="9"/>
  <c r="G64" i="9" s="1"/>
  <c r="H25" i="9"/>
  <c r="H26" i="9"/>
  <c r="G105" i="9"/>
  <c r="G43" i="7"/>
  <c r="G32" i="7"/>
  <c r="G33" i="7"/>
  <c r="G36" i="7"/>
  <c r="G39" i="7"/>
  <c r="G34" i="7"/>
  <c r="G31" i="7"/>
  <c r="G30" i="7"/>
  <c r="G28" i="7"/>
  <c r="G44" i="7"/>
  <c r="G10" i="7"/>
  <c r="G9" i="7"/>
  <c r="G8" i="7"/>
  <c r="G22" i="7"/>
  <c r="G17" i="7"/>
  <c r="G20" i="7"/>
  <c r="G23" i="7"/>
  <c r="G120" i="9" l="1"/>
  <c r="G66" i="9"/>
  <c r="J21" i="9"/>
  <c r="H56" i="9"/>
  <c r="H96" i="9" s="1"/>
  <c r="H33" i="9"/>
  <c r="H126" i="9" s="1"/>
  <c r="H128" i="9" s="1"/>
  <c r="I53" i="9"/>
  <c r="H57" i="9"/>
  <c r="H91" i="9" s="1"/>
  <c r="H55" i="9"/>
  <c r="H105" i="9"/>
  <c r="F117" i="9"/>
  <c r="F123" i="9" s="1"/>
  <c r="F137" i="9" s="1"/>
  <c r="F139" i="9" s="1"/>
  <c r="F73" i="9"/>
  <c r="J23" i="9"/>
  <c r="G87" i="9"/>
  <c r="I25" i="9"/>
  <c r="J34" i="9"/>
  <c r="C75" i="9"/>
  <c r="C41" i="9" s="1"/>
  <c r="C11" i="9"/>
  <c r="D75" i="9"/>
  <c r="D41" i="9" s="1"/>
  <c r="D11" i="9"/>
  <c r="I9" i="9"/>
  <c r="J22" i="9"/>
  <c r="I26" i="9"/>
  <c r="H97" i="9"/>
  <c r="H118" i="9"/>
  <c r="H64" i="9" s="1"/>
  <c r="E75" i="9"/>
  <c r="E41" i="9" s="1"/>
  <c r="E11" i="9"/>
  <c r="E81" i="9"/>
  <c r="E115" i="9" s="1"/>
  <c r="E2" i="9"/>
  <c r="F49" i="9"/>
  <c r="H119" i="9"/>
  <c r="H65" i="9" s="1"/>
  <c r="I35" i="9"/>
  <c r="G91" i="9"/>
  <c r="G121" i="9" s="1"/>
  <c r="H85" i="9"/>
  <c r="H60" i="9"/>
  <c r="I61" i="9"/>
  <c r="G58" i="9"/>
  <c r="G69" i="9" s="1"/>
  <c r="J27" i="9"/>
  <c r="B4" i="7"/>
  <c r="H87" i="9" l="1"/>
  <c r="I56" i="9"/>
  <c r="I33" i="9"/>
  <c r="J53" i="9"/>
  <c r="I57" i="9"/>
  <c r="I91" i="9" s="1"/>
  <c r="I55" i="9"/>
  <c r="K23" i="9"/>
  <c r="I60" i="9"/>
  <c r="J61" i="9"/>
  <c r="F75" i="9"/>
  <c r="F41" i="9" s="1"/>
  <c r="F11" i="9"/>
  <c r="G11" i="9" s="1"/>
  <c r="H11" i="9" s="1"/>
  <c r="I11" i="9" s="1"/>
  <c r="J11" i="9" s="1"/>
  <c r="K11" i="9" s="1"/>
  <c r="K27" i="9"/>
  <c r="G117" i="9"/>
  <c r="G123" i="9" s="1"/>
  <c r="G71" i="9"/>
  <c r="G73" i="9" s="1"/>
  <c r="F2" i="9"/>
  <c r="G49" i="9"/>
  <c r="F81" i="9"/>
  <c r="F115" i="9" s="1"/>
  <c r="J26" i="9"/>
  <c r="I97" i="9"/>
  <c r="K22" i="9"/>
  <c r="J9" i="9"/>
  <c r="J118" i="9"/>
  <c r="J64" i="9" s="1"/>
  <c r="K34" i="9"/>
  <c r="I85" i="9"/>
  <c r="I118" i="9"/>
  <c r="I64" i="9" s="1"/>
  <c r="I105" i="9"/>
  <c r="K21" i="9"/>
  <c r="H121" i="9"/>
  <c r="J25" i="9"/>
  <c r="I96" i="9"/>
  <c r="I119" i="9"/>
  <c r="I65" i="9" s="1"/>
  <c r="J35" i="9"/>
  <c r="H58" i="9"/>
  <c r="H101" i="9"/>
  <c r="H86" i="9"/>
  <c r="G74" i="9" l="1"/>
  <c r="G98" i="9" s="1"/>
  <c r="G75" i="9"/>
  <c r="K25" i="9"/>
  <c r="K118" i="9"/>
  <c r="K64" i="9" s="1"/>
  <c r="J97" i="9"/>
  <c r="K26" i="9"/>
  <c r="I58" i="9"/>
  <c r="I101" i="9"/>
  <c r="I86" i="9"/>
  <c r="I121" i="9" s="1"/>
  <c r="K85" i="9"/>
  <c r="J60" i="9"/>
  <c r="K61" i="9"/>
  <c r="K60" i="9" s="1"/>
  <c r="K9" i="9"/>
  <c r="K53" i="9"/>
  <c r="J57" i="9"/>
  <c r="J91" i="9" s="1"/>
  <c r="J55" i="9"/>
  <c r="J56" i="9"/>
  <c r="I126" i="9"/>
  <c r="I128" i="9" s="1"/>
  <c r="J33" i="9"/>
  <c r="K35" i="9"/>
  <c r="J119" i="9"/>
  <c r="J65" i="9" s="1"/>
  <c r="J105" i="9"/>
  <c r="I87" i="9"/>
  <c r="G2" i="9"/>
  <c r="H49" i="9"/>
  <c r="G81" i="9"/>
  <c r="G115" i="9" s="1"/>
  <c r="J85" i="9"/>
  <c r="G40" i="9"/>
  <c r="G134" i="9" l="1"/>
  <c r="G99" i="9"/>
  <c r="K119" i="9"/>
  <c r="K65" i="9" s="1"/>
  <c r="G132" i="9"/>
  <c r="G135" i="9" s="1"/>
  <c r="G137" i="9" s="1"/>
  <c r="G139" i="9" s="1"/>
  <c r="G84" i="9" s="1"/>
  <c r="G106" i="9"/>
  <c r="K105" i="9"/>
  <c r="K57" i="9"/>
  <c r="K91" i="9" s="1"/>
  <c r="K55" i="9"/>
  <c r="K56" i="9"/>
  <c r="K33" i="9"/>
  <c r="K126" i="9" s="1"/>
  <c r="K128" i="9" s="1"/>
  <c r="J126" i="9"/>
  <c r="J128" i="9" s="1"/>
  <c r="G102" i="9"/>
  <c r="J58" i="9"/>
  <c r="J86" i="9"/>
  <c r="J101" i="9"/>
  <c r="J96" i="9"/>
  <c r="H2" i="9"/>
  <c r="I49" i="9"/>
  <c r="H81" i="9"/>
  <c r="H115" i="9" s="1"/>
  <c r="I34" i="2"/>
  <c r="K58" i="9" l="1"/>
  <c r="K101" i="9"/>
  <c r="K86" i="9"/>
  <c r="K121" i="9" s="1"/>
  <c r="G92" i="9"/>
  <c r="H138" i="9"/>
  <c r="K96" i="9"/>
  <c r="G107" i="9"/>
  <c r="G109" i="9" s="1"/>
  <c r="J121" i="9"/>
  <c r="H68" i="9"/>
  <c r="I2" i="9"/>
  <c r="J49" i="9"/>
  <c r="I81" i="9"/>
  <c r="I115" i="9" s="1"/>
  <c r="K97" i="9"/>
  <c r="J87" i="9"/>
  <c r="K87" i="9" s="1"/>
  <c r="J32" i="4"/>
  <c r="K32" i="4"/>
  <c r="L32" i="4"/>
  <c r="H120" i="9" l="1"/>
  <c r="H66" i="9"/>
  <c r="H69" i="9" s="1"/>
  <c r="G111" i="9"/>
  <c r="K49" i="9"/>
  <c r="J81" i="9"/>
  <c r="J115" i="9" s="1"/>
  <c r="J2" i="9"/>
  <c r="I32" i="4"/>
  <c r="K81" i="9" l="1"/>
  <c r="K115" i="9" s="1"/>
  <c r="K2" i="9"/>
  <c r="H117" i="9"/>
  <c r="H123" i="9" s="1"/>
  <c r="H71" i="9"/>
  <c r="H73" i="9" s="1"/>
  <c r="H74" i="9" l="1"/>
  <c r="H98" i="9" s="1"/>
  <c r="H40" i="9"/>
  <c r="H134" i="9" l="1"/>
  <c r="H99" i="9"/>
  <c r="H102" i="9"/>
  <c r="H75" i="9"/>
  <c r="H132" i="9" l="1"/>
  <c r="H135" i="9" s="1"/>
  <c r="H137" i="9" s="1"/>
  <c r="H139" i="9" s="1"/>
  <c r="H84" i="9" s="1"/>
  <c r="H106" i="9"/>
  <c r="I68" i="9"/>
  <c r="I120" i="9" l="1"/>
  <c r="I66" i="9"/>
  <c r="I69" i="9" s="1"/>
  <c r="H107" i="9"/>
  <c r="H109" i="9" s="1"/>
  <c r="H92" i="9"/>
  <c r="I138" i="9"/>
  <c r="H111" i="9" l="1"/>
  <c r="I117" i="9"/>
  <c r="I123" i="9" s="1"/>
  <c r="I71" i="9"/>
  <c r="I73" i="9" s="1"/>
  <c r="I74" i="9" l="1"/>
  <c r="I98" i="9" s="1"/>
  <c r="I40" i="9"/>
  <c r="I134" i="9" l="1"/>
  <c r="I99" i="9"/>
  <c r="I102" i="9"/>
  <c r="I75" i="9"/>
  <c r="I132" i="9" l="1"/>
  <c r="I135" i="9" s="1"/>
  <c r="I137" i="9" s="1"/>
  <c r="I139" i="9" s="1"/>
  <c r="I84" i="9" s="1"/>
  <c r="I106" i="9"/>
  <c r="J68" i="9"/>
  <c r="J120" i="9" l="1"/>
  <c r="J66" i="9"/>
  <c r="J69" i="9" s="1"/>
  <c r="I107" i="9"/>
  <c r="I109" i="9" s="1"/>
  <c r="I92" i="9"/>
  <c r="J138" i="9"/>
  <c r="I111" i="9" l="1"/>
  <c r="J117" i="9"/>
  <c r="J123" i="9" s="1"/>
  <c r="J71" i="9"/>
  <c r="J73" i="9" s="1"/>
  <c r="J74" i="9" l="1"/>
  <c r="J98" i="9" s="1"/>
  <c r="J40" i="9"/>
  <c r="J134" i="9" l="1"/>
  <c r="J99" i="9"/>
  <c r="J102" i="9"/>
  <c r="J75" i="9"/>
  <c r="J132" i="9" l="1"/>
  <c r="J135" i="9" s="1"/>
  <c r="J137" i="9" s="1"/>
  <c r="J139" i="9" s="1"/>
  <c r="J84" i="9" s="1"/>
  <c r="J106" i="9"/>
  <c r="K68" i="9"/>
  <c r="K120" i="9" l="1"/>
  <c r="K66" i="9"/>
  <c r="K69" i="9" s="1"/>
  <c r="J107" i="9"/>
  <c r="J109" i="9" s="1"/>
  <c r="K138" i="9"/>
  <c r="J92" i="9"/>
  <c r="J111" i="9" l="1"/>
  <c r="K117" i="9"/>
  <c r="K123" i="9" s="1"/>
  <c r="K71" i="9"/>
  <c r="K73" i="9" s="1"/>
  <c r="K74" i="9" l="1"/>
  <c r="K98" i="9" s="1"/>
  <c r="K40" i="9"/>
  <c r="K134" i="9" l="1"/>
  <c r="K99" i="9"/>
  <c r="K102" i="9"/>
  <c r="K75" i="9"/>
  <c r="K132" i="9" l="1"/>
  <c r="K135" i="9" s="1"/>
  <c r="K137" i="9" s="1"/>
  <c r="K139" i="9" s="1"/>
  <c r="K84" i="9" s="1"/>
  <c r="K92" i="9" s="1"/>
  <c r="K106" i="9"/>
  <c r="K107" i="9" s="1"/>
  <c r="K109" i="9" s="1"/>
  <c r="K111" i="9" s="1"/>
</calcChain>
</file>

<file path=xl/sharedStrings.xml><?xml version="1.0" encoding="utf-8"?>
<sst xmlns="http://schemas.openxmlformats.org/spreadsheetml/2006/main" count="1145" uniqueCount="475">
  <si>
    <t>Vodafone Idea Limited - Consolidated Financial Statements, FY2021-22 to FY2025-26</t>
  </si>
  <si>
    <t>Five financial years (each ending March 31) side by side. Every figure is typed from the company's annual reports; nothing is estimated.</t>
  </si>
  <si>
    <t>Sources (each year is taken from its own annual report, i.e. as originally reported)</t>
  </si>
  <si>
    <t>FY2025-26: Annual Report 2025-26 (reported in ₹ Crore).  FY2024-25: Annual Report 2024-25.  FY2023-24: Annual Report 2023-24.  FY2022-23: Annual Report 2022-23.  (these three in ₹ Mn).</t>
  </si>
  <si>
    <t>FY2021-22: the 2021-22 annual report was not provided, so this column is the comparative-year column printed in the 2022-23 annual report. It may differ slightly from the original 2021-22 report if anything was regrouped.</t>
  </si>
  <si>
    <t>Unit</t>
  </si>
  <si>
    <t>All sheets are in ₹ Crore. The 2022-23, 2023-24 and 2024-25 reports (and so FY2021-22 to FY2024-25) are printed in ₹ Mn; those figures are divided by 10 (1 Crore = 10 Mn), which is exact to one decimal. The 2025-26 report is printed in whole ₹ Crore. To get the original ₹ Mn number for the older years, multiply by 10.</t>
  </si>
  <si>
    <t>EPS is in ₹ per share and share counts are numbers of shares; neither is converted.</t>
  </si>
  <si>
    <t>Sheets</t>
  </si>
  <si>
    <t>Balance Sheet, Profit and Loss, Cash Flows: one column per year, all years on one page.</t>
  </si>
  <si>
    <t>Changes in Equity: share capital roll-forward and other-equity blocks for each year, stacked on one page (a reserve-by-reserve table cannot sit in year columns).</t>
  </si>
  <si>
    <t>Financing Liabilities: the disclosure table printed after the cash flow statement (changes in borrowings, deferred payment obligations, interest accrued and lease liabilities), stacked by year.</t>
  </si>
  <si>
    <t>Tie-out: formulas that re-add every sub-total for every year and cross-check the statements with each other.</t>
  </si>
  <si>
    <t>Conventions</t>
  </si>
  <si>
    <t>Blue font = figure typed from the report. Negatives in brackets. "-" = nil as printed. "-*" = below one unit of rounding, kept as text. A blank cell = the line is not presented in that year's report.</t>
  </si>
  <si>
    <t>Line items changed over the years (for example, short term borrowings were one line until FY2023-24 and were split into loans and deferred payment obligations from FY2024-25). All lines are combined into one list, so a blank simply means that year's report had no such line.</t>
  </si>
  <si>
    <t>The 'Notes' column of the reports is left out because note numbers changed from year to year. Notes to accounts are not included.</t>
  </si>
  <si>
    <t>Regrouping between a year's own report and the next report's comparative column (the figures here are the own-year ones)</t>
  </si>
  <si>
    <t>FY2022-23: the 2023-24 report shows Interest income (2,471) and Gain on Mutual Funds (290) in the cash flow where the 2022-23 report shows one line, Other income (2,761). It also shows Current tax liability (net) 1 and Short term provisions 147 where the 2022-23 report shows Short term provisions 148 (all ₹ Mn).</t>
  </si>
  <si>
    <t>FY2023-24: the 2024-25 report shows non-current Trade payables 386 (own report: 754) and Other non-current financial liabilities 73,301 (72,933); current Trade payables 134,359 (137,312) and Other current financial liabilities 154,385 (151,432); Short term borrowings of 47,336 split into Loans 41,962 and Deferred payment obligations 5,374. In the cash flow, Decrease in trade payables is (10,577) (own report: (10,128)) and Increase in other liabilities 7,384 (6,935). Totals are unchanged (all ₹ Mn).</t>
  </si>
  <si>
    <t>Because of the whole-crore rounding in the 2025-26 report, FY2024-25 figures here (from the 2024-25 report, divided by 10) can differ by up to about one crore from that report's comparative column.</t>
  </si>
  <si>
    <t>Vodafone Idea Limited</t>
  </si>
  <si>
    <t>CONSOLIDATED BALANCE SHEET</t>
  </si>
  <si>
    <t>₹ Crore (FY2021-22 to FY2024-25 reports are in ₹ Mn and are shown here divided by 10; FY2025-26 report is in ₹ Crore)</t>
  </si>
  <si>
    <t>Particulars</t>
  </si>
  <si>
    <t>FY2021-22
As at
Mar 31, 2022</t>
  </si>
  <si>
    <t>FY2022-23
As at
Mar 31, 2023</t>
  </si>
  <si>
    <t>FY2023-24
As at
Mar 31, 2024</t>
  </si>
  <si>
    <t>FY2024-25
As at
Mar 31, 2025</t>
  </si>
  <si>
    <t>FY2025-26
As at
Mar 31, 2026</t>
  </si>
  <si>
    <t>Source</t>
  </si>
  <si>
    <t>Comparative in
AR 2022-23</t>
  </si>
  <si>
    <t>AR 2022-23</t>
  </si>
  <si>
    <t>AR 2023-24</t>
  </si>
  <si>
    <t>AR 2024-25</t>
  </si>
  <si>
    <t>AR 2025-26</t>
  </si>
  <si>
    <t>Unit in the source report</t>
  </si>
  <si>
    <t>₹ Mn</t>
  </si>
  <si>
    <t>₹ Crore</t>
  </si>
  <si>
    <t>ASSETS</t>
  </si>
  <si>
    <t>Non-current assets</t>
  </si>
  <si>
    <t>Property, plant and equipment (including RoU Assets)</t>
  </si>
  <si>
    <t>Capital work-in-progress</t>
  </si>
  <si>
    <t>Intangible assets</t>
  </si>
  <si>
    <t>Intangible assets under development</t>
  </si>
  <si>
    <t>Investments accounted for using the equity method</t>
  </si>
  <si>
    <t>-*</t>
  </si>
  <si>
    <t>Financial assets</t>
  </si>
  <si>
    <t>Other non-current financial assets</t>
  </si>
  <si>
    <t>Deferred tax assets (net)</t>
  </si>
  <si>
    <t>Other non-current assets</t>
  </si>
  <si>
    <t>Total non-current assets (A)</t>
  </si>
  <si>
    <t>Current assets</t>
  </si>
  <si>
    <t>Inventories</t>
  </si>
  <si>
    <t>Current investments</t>
  </si>
  <si>
    <t>-</t>
  </si>
  <si>
    <t>Trade receivables</t>
  </si>
  <si>
    <t>Cash and cash equivalents</t>
  </si>
  <si>
    <t>Bank balance other than cash and cash equivalents</t>
  </si>
  <si>
    <t>Other current financial assets</t>
  </si>
  <si>
    <t>Current tax assets</t>
  </si>
  <si>
    <t>Other current assets</t>
  </si>
  <si>
    <t>Total current assets (B)</t>
  </si>
  <si>
    <t>Assets classified as held for sale (AHFS) (C)</t>
  </si>
  <si>
    <t>Total Assets (A+B+C)</t>
  </si>
  <si>
    <t>EQUITY AND LIABILITIES</t>
  </si>
  <si>
    <t>Equity</t>
  </si>
  <si>
    <t>Equity share capital</t>
  </si>
  <si>
    <t>Other equity</t>
  </si>
  <si>
    <t>Total equity (A)</t>
  </si>
  <si>
    <t>Liabilities</t>
  </si>
  <si>
    <t>Non-current liabilities</t>
  </si>
  <si>
    <t>Financial liabilities</t>
  </si>
  <si>
    <t>Long term borrowings</t>
  </si>
  <si>
    <t>Loans from banks and others</t>
  </si>
  <si>
    <t>Deferred payment obligations</t>
  </si>
  <si>
    <t>Lease liabilities</t>
  </si>
  <si>
    <t>Trade payables</t>
  </si>
  <si>
    <t>Other non-current financial liabilities</t>
  </si>
  <si>
    <t>Long term provisions</t>
  </si>
  <si>
    <t>Deferred tax liabilities (net)</t>
  </si>
  <si>
    <t>Other non-current liabilities</t>
  </si>
  <si>
    <t>Total non-current liabilities (B)</t>
  </si>
  <si>
    <t>Current liabilities</t>
  </si>
  <si>
    <t>Short term borrowings (shown as one line in the FY2021-22 to FY2023-24 presentation)</t>
  </si>
  <si>
    <t>Short term borrowings - Loans from banks and others (split out from FY2024-25)</t>
  </si>
  <si>
    <t>Short term borrowings - Deferred payment obligations (split out from FY2024-25)</t>
  </si>
  <si>
    <t>Other current financial liabilities</t>
  </si>
  <si>
    <t>Other current liabilities</t>
  </si>
  <si>
    <t>Short term provisions</t>
  </si>
  <si>
    <t>Current tax liability (net)</t>
  </si>
  <si>
    <t>Total current liabilities (C)</t>
  </si>
  <si>
    <t>Total Equity and Liabilities (A+B+C)</t>
  </si>
  <si>
    <t>Source: Vodafone Idea Limited annual reports 2022-23, 2023-24, 2024-25 and 2025-26, consolidated financial statements. Each year is taken from its own year's report (as originally reported); FY2021-22 is the comparative column in the 2022-23 report.</t>
  </si>
  <si>
    <t>Blank cell = the line item is not presented in that year's report (statement layouts changed over the years).</t>
  </si>
  <si>
    <t>-* = below one million (reports in ₹ Mn) / below one crore (FY2025-26 report), not reported under the Group's rounding convention; kept as text and counted as zero in the tie-out.</t>
  </si>
  <si>
    <t>Each report's own wording is combined into one line list; where a report grouped items differently, see the Notes sheet.</t>
  </si>
  <si>
    <t>CONSOLIDATED STATEMENT OF PROFIT AND LOSS</t>
  </si>
  <si>
    <t>FY2021-22
Year ended
Mar 31, 2022</t>
  </si>
  <si>
    <t>FY2022-23
Year ended
Mar 31, 2023</t>
  </si>
  <si>
    <t>FY2023-24
Year ended
Mar 31, 2024</t>
  </si>
  <si>
    <t>FY2024-25
Year ended
Mar 31, 2025</t>
  </si>
  <si>
    <t>FY2025-26
Year ended
Mar 31, 2026</t>
  </si>
  <si>
    <t>INCOME</t>
  </si>
  <si>
    <t>Service revenue</t>
  </si>
  <si>
    <t>Sale of trading goods</t>
  </si>
  <si>
    <t>Other operating income</t>
  </si>
  <si>
    <t>Revenue from operations</t>
  </si>
  <si>
    <t>Other income</t>
  </si>
  <si>
    <t>Total income</t>
  </si>
  <si>
    <t>EXPENSES</t>
  </si>
  <si>
    <t>Cost of trading goods</t>
  </si>
  <si>
    <t>Employee benefit expenses</t>
  </si>
  <si>
    <t>Network expenses and IT outsourcing cost</t>
  </si>
  <si>
    <t>License fees and spectrum usage charges</t>
  </si>
  <si>
    <t>Roaming and access charges</t>
  </si>
  <si>
    <t>Subscriber acquisition and servicing expenditure</t>
  </si>
  <si>
    <t>Advertisement, business promotion expenditure and content cost</t>
  </si>
  <si>
    <t>Other expenses</t>
  </si>
  <si>
    <t>Total expenses before finance costs, depreciation and amortisation (sub-total, unlabelled in the reports)</t>
  </si>
  <si>
    <t>Profit / (Loss) before finance costs, depreciation, amortisation, share of profit / (loss) of joint venture and associates, exceptional items and tax</t>
  </si>
  <si>
    <t>Finance costs</t>
  </si>
  <si>
    <t>Depreciation</t>
  </si>
  <si>
    <t>Amortisation</t>
  </si>
  <si>
    <t>Profit / (Loss) before share of profit / (loss) of joint venture and associates, exceptional items and tax</t>
  </si>
  <si>
    <t>Add: Share of profit / (loss) of joint venture and associates, net of tax</t>
  </si>
  <si>
    <t>Profit / (Loss) before exceptional items and tax</t>
  </si>
  <si>
    <t>Exceptional items (net)</t>
  </si>
  <si>
    <t>Profit / (Loss) before tax</t>
  </si>
  <si>
    <t>Tax expense:</t>
  </si>
  <si>
    <t>- Current tax</t>
  </si>
  <si>
    <t>- Deferred tax</t>
  </si>
  <si>
    <t>Profit / (Loss) after tax for the year</t>
  </si>
  <si>
    <t>OTHER COMPREHENSIVE INCOME / (LOSS)</t>
  </si>
  <si>
    <t>Items that will not be reclassified to profit or loss:</t>
  </si>
  <si>
    <t>Re-measurement gain / (loss) on defined benefit plans</t>
  </si>
  <si>
    <t>Income tax effect</t>
  </si>
  <si>
    <t>Other comprehensive income / (loss) for the year, net of tax</t>
  </si>
  <si>
    <t>Total comprehensive income / (loss) for the year</t>
  </si>
  <si>
    <t>Earnings / (loss) per equity share of ₹ 10 each (in ₹, not converted):</t>
  </si>
  <si>
    <t>Basic (₹)</t>
  </si>
  <si>
    <t>Diluted (₹)</t>
  </si>
  <si>
    <t>EPS is in ₹ per share and is not divided by 10.</t>
  </si>
  <si>
    <t>CONSOLIDATED STATEMENT OF CASH FLOWS</t>
  </si>
  <si>
    <t>OPERATING ACTIVITIES</t>
  </si>
  <si>
    <t>Adjustments to reconcile profit / (loss) before tax to net cash flows</t>
  </si>
  <si>
    <t>Share of (profit) / loss of joint venture and associates, net of tax</t>
  </si>
  <si>
    <t>Depreciation of property, plant and equipment (including RoU Assets)</t>
  </si>
  <si>
    <t>Amortisation of intangible assets</t>
  </si>
  <si>
    <t>Share-based payment expense (ESOS)</t>
  </si>
  <si>
    <t>Gain on disposal of property, plant and equipment and intangible assets (net)</t>
  </si>
  <si>
    <t>Loss / (Gain) on leasehold land</t>
  </si>
  <si>
    <t>Accelerated depreciation on account of network re-alignment / re-farming</t>
  </si>
  <si>
    <t>Differential entry fees impact / Gain arising out of the TDSAT ruling accepted by DoT</t>
  </si>
  <si>
    <t>Bad debts / advances written off</t>
  </si>
  <si>
    <t>Allowance for doubtful debts / advances</t>
  </si>
  <si>
    <t>Liabilities / provisions no longer required written back</t>
  </si>
  <si>
    <t>Other income (single line in the FY2021-22 and FY2022-23 presentation)</t>
  </si>
  <si>
    <t>Interest income</t>
  </si>
  <si>
    <t>Gain on Mutual Funds (including fair value gain / (loss))</t>
  </si>
  <si>
    <t>Profit on sale of Equity Instruments</t>
  </si>
  <si>
    <t>Working capital adjustments</t>
  </si>
  <si>
    <t>(Increase) / Decrease in trade receivables</t>
  </si>
  <si>
    <t>(Increase) / Decrease in inventories</t>
  </si>
  <si>
    <t>Decrease / (Increase) in other financial and non-financial assets</t>
  </si>
  <si>
    <t>(Decrease) in trade payables</t>
  </si>
  <si>
    <t>Increase / (Decrease) in other financial and non-financial liabilities</t>
  </si>
  <si>
    <t>Cash flows from operating activities</t>
  </si>
  <si>
    <t>Income tax refund (including TDS) (net)</t>
  </si>
  <si>
    <t>Net cash flows from operating activities</t>
  </si>
  <si>
    <t>INVESTING ACTIVITIES</t>
  </si>
  <si>
    <t>Purchase of / Payment towards property, plant and equipment and intangible assets (including CWIP and intangible assets under development)</t>
  </si>
  <si>
    <t>Payment towards Spectrum - Upfront payment</t>
  </si>
  <si>
    <t>Payment of Deferred Payment obligation towards Spectrum</t>
  </si>
  <si>
    <t>Proceeds from sale of property, plant and equipment and intangible assets</t>
  </si>
  <si>
    <t>Proceeds from sale of Investment property / Asset held for sale (leasehold land)</t>
  </si>
  <si>
    <t>Proceeds from sale of stake in Firefly Networks Limited (Joint Venture)</t>
  </si>
  <si>
    <t>Payment towards purchase of stake in associates</t>
  </si>
  <si>
    <t>Repayment of loan given to joint venture</t>
  </si>
  <si>
    <t>Net (purchase) / sale of current investments</t>
  </si>
  <si>
    <t>Interest received</t>
  </si>
  <si>
    <t>Maturity / (Placement) of Fixed deposits with banks having original maturity of 3 to 12 months (net)</t>
  </si>
  <si>
    <t>Net cash flows (used in) investing activities</t>
  </si>
  <si>
    <t>FINANCING ACTIVITIES</t>
  </si>
  <si>
    <t>Proceeds from Issue of share capital through FPO (net of share issue expenses)</t>
  </si>
  <si>
    <t>Proceeds from issue of share capital through preferential allotment (net of share issue expenses)</t>
  </si>
  <si>
    <t>Proceeds from issue of convertible share warrants (net of share issue expenses)</t>
  </si>
  <si>
    <t>Proceeds from Issue of shares under ESOS</t>
  </si>
  <si>
    <t>Payment of share issue expenses towards issue of equity share capital</t>
  </si>
  <si>
    <t>Payment of interest and finance charges (1)</t>
  </si>
  <si>
    <t>Proceeds from issue of Non-convertible debentures (net of issue expenses)</t>
  </si>
  <si>
    <t>Proceeds from long term borrowings</t>
  </si>
  <si>
    <t>Repayment of long term borrowings</t>
  </si>
  <si>
    <t>Payment of Deferred Payment obligation relating to AGR</t>
  </si>
  <si>
    <t>Proceeds from short term borrowings</t>
  </si>
  <si>
    <t>Repayment of short term borrowings</t>
  </si>
  <si>
    <t>Payment of lease liabilities (including interest)</t>
  </si>
  <si>
    <t>Net cash flows (used in) / generated from financing activities</t>
  </si>
  <si>
    <t>Net increase / (decrease) in cash and cash equivalents during the year</t>
  </si>
  <si>
    <t>Cash and cash equivalents at the beginning of the year</t>
  </si>
  <si>
    <t>Cash and cash equivalents at the end of the year</t>
  </si>
  <si>
    <t>(1) Includes interest payment on Deferred Payment obligation. Prepared under the indirect method (Ind AS 7).</t>
  </si>
  <si>
    <t>CONSOLIDATED STATEMENT OF CHANGES IN EQUITY, FY2021-22 to FY2025-26</t>
  </si>
  <si>
    <t>₹ Crore (reports up to FY2024-25 are in ₹ Mn and are shown divided by 10; FY2025-26 report is in ₹ Crore). Share counts are numbers of shares.</t>
  </si>
  <si>
    <t>A. EQUITY SHARE CAPITAL - Equity shares of ₹ 10 each issued, subscribed and fully paid</t>
  </si>
  <si>
    <t>Numbers</t>
  </si>
  <si>
    <t>Amount
(₹ Crore)</t>
  </si>
  <si>
    <t>As at April 1, 2021</t>
  </si>
  <si>
    <t>Issue of Share capital (Preferential allotment)</t>
  </si>
  <si>
    <t>As at March 31, 2022</t>
  </si>
  <si>
    <t>Issue of Share capital</t>
  </si>
  <si>
    <t>As at March 31, 2023</t>
  </si>
  <si>
    <t>Issue of Share capital (conversion of OCDs)</t>
  </si>
  <si>
    <t>Issue of shares under Employee Stock Option Scheme (ESOS)</t>
  </si>
  <si>
    <t>As at March 31, 2024</t>
  </si>
  <si>
    <t>Issue of share capital through Further Public Offer (FPO)</t>
  </si>
  <si>
    <t>Issue of share capital through Conversion of OCDs</t>
  </si>
  <si>
    <t>Issue of share capital through preferential allotment</t>
  </si>
  <si>
    <t>As at March 31, 2025</t>
  </si>
  <si>
    <t>Issue of share capital to DoT towards conversion of spectrum dues</t>
  </si>
  <si>
    <t>As at March 31, 2026</t>
  </si>
  <si>
    <t>B. OTHER EQUITY (₹ Crore) - each year's block as printed in its own report</t>
  </si>
  <si>
    <t>Reserves and surplus</t>
  </si>
  <si>
    <t>Capital
reserve</t>
  </si>
  <si>
    <t>Capital reduction
reserve</t>
  </si>
  <si>
    <t>Debenture redemption
reserve</t>
  </si>
  <si>
    <t>Securities
premium</t>
  </si>
  <si>
    <t>Amalgamation adjustment
deficit account</t>
  </si>
  <si>
    <t>General
reserve</t>
  </si>
  <si>
    <t>Retained
earnings</t>
  </si>
  <si>
    <t>Employee stock
options reserve</t>
  </si>
  <si>
    <t>Convertible share warrants /
Share application amount
pending allotment</t>
  </si>
  <si>
    <t>Total</t>
  </si>
  <si>
    <t>FY2021-22 (AR 2022-23, ₹ Mn shown as ₹ Crore)</t>
  </si>
  <si>
    <t>Profit / (Loss) for the year ended March 31, 2022</t>
  </si>
  <si>
    <t>Other comprehensive income / (loss) for the year ended March 31, 2022</t>
  </si>
  <si>
    <t>Total comprehensive income / (loss)</t>
  </si>
  <si>
    <t>Allotment of Equity Share Capital (net of issue expense of ₹ 3 Mn)</t>
  </si>
  <si>
    <t>Share-based payment expenses</t>
  </si>
  <si>
    <t>FY2022-23 (AR 2022-23)</t>
  </si>
  <si>
    <t>Profit / (Loss) for the year ended March 31, 2023</t>
  </si>
  <si>
    <t>Other comprehensive income / (loss) for the year ended March 31, 2023</t>
  </si>
  <si>
    <t>Adjustment on account of settlement of financial liability</t>
  </si>
  <si>
    <t>Issue of convertible share warrants</t>
  </si>
  <si>
    <t>Conversion of convertible share warrants into equity shares (net of share issue expenses of ₹ 42 Mn)</t>
  </si>
  <si>
    <t>FY2023-24 (AR 2023-24)</t>
  </si>
  <si>
    <t>Profit / (Loss) for the year ended March 31, 2024</t>
  </si>
  <si>
    <t>Other comprehensive income / (loss) for the year ended March 31, 2024</t>
  </si>
  <si>
    <t>Issue of shares under ESOS</t>
  </si>
  <si>
    <t>Transfer of debenture redemption reserve to General Reserves</t>
  </si>
  <si>
    <t>FY2024-25 (AR 2024-25)</t>
  </si>
  <si>
    <t>Profit / (Loss) for the year ended March 31, 2025</t>
  </si>
  <si>
    <t>Other comprehensive income / (loss) for the year ended March 31, 2025</t>
  </si>
  <si>
    <t>Issue of share capital through FPO (net of share issue expenses of ₹ 3,041 Mn)</t>
  </si>
  <si>
    <t>Issue of share capital through preferential allotment (net of share issue expenses of ₹ 18 Mn)</t>
  </si>
  <si>
    <t>Discharge of Deferred payment obligation towards spectrum by way of conversion into equity</t>
  </si>
  <si>
    <t>FY2025-26 (AR 2025-26, in ₹ Crore; no Debenture redemption reserve column in this report)</t>
  </si>
  <si>
    <t>As at April 1, 2025 (as printed in AR 2025-26; differs from the row above only by rounding to whole crore)</t>
  </si>
  <si>
    <t>Profit / (Loss) for the year ended March 31, 2026</t>
  </si>
  <si>
    <t>Other comprehensive income / (loss) for the year ended March 31, 2026</t>
  </si>
  <si>
    <t>Share issue expenses towards issue of equity share capital</t>
  </si>
  <si>
    <t>Source: Vodafone Idea Limited annual reports 2022-23 to 2025-26, consolidated Statement of Changes in Equity. -* = below one million (reports in ₹ Mn) / below one crore (FY2025-26 report), not reported under the Group's rounding convention; kept as text and counted as zero in the tie-out.</t>
  </si>
  <si>
    <t>The two FY2025-26 'April 1, 2025' and FY2024-25 'March 31, 2025' rows describe the same balance; they differ by up to a crore only because the 2025-26 report rounds to whole crore.</t>
  </si>
  <si>
    <t>CONSOLIDATED STATEMENT OF CASH FLOWS - Disclosure of changes in liabilities arising from financing activities (incl. non-cash transactions)</t>
  </si>
  <si>
    <t>₹ Crore (reports up to FY2024-25 are in ₹ Mn and are shown divided by 10; FY2025-26 report is in ₹ Crore)</t>
  </si>
  <si>
    <t>Loans from banks and others
including current maturities</t>
  </si>
  <si>
    <t>Deferred payment obligations
including current maturities</t>
  </si>
  <si>
    <t>Changes in derivative
liabilities (net)</t>
  </si>
  <si>
    <t>Interest accrued
but not due</t>
  </si>
  <si>
    <t>Balance as at April 1, 2021</t>
  </si>
  <si>
    <t>(i) Cash flow items</t>
  </si>
  <si>
    <t>Net proceed / (repayment) of borrowings</t>
  </si>
  <si>
    <t>Payment of Interest and finance charges</t>
  </si>
  <si>
    <t>Payment of lease liabilities</t>
  </si>
  <si>
    <t>(ii) Non-cash items</t>
  </si>
  <si>
    <t>Exchange difference (net)</t>
  </si>
  <si>
    <t>Finance cost (charged to profit and loss)</t>
  </si>
  <si>
    <t>Upfront fees amortisation</t>
  </si>
  <si>
    <t>Interest on asset retirement obligation</t>
  </si>
  <si>
    <t>Interest related to other liabilities</t>
  </si>
  <si>
    <t>Accrued interest on deferred payment obligation for spectrum and others transferred to borrowing on anniversary date</t>
  </si>
  <si>
    <t>Addition towards Spectrum acquisition</t>
  </si>
  <si>
    <t>Addition of lease liabilities</t>
  </si>
  <si>
    <t>Deletion of lease liabilities</t>
  </si>
  <si>
    <t>Issue of equity shares</t>
  </si>
  <si>
    <t>Reclassification of deferred payment obligation</t>
  </si>
  <si>
    <t>Issue of shares pursuant to conversion of OCDs</t>
  </si>
  <si>
    <t>Repayment of borrowings (net)</t>
  </si>
  <si>
    <t>Finance cost (charged to consolidated statement of profit and loss)</t>
  </si>
  <si>
    <t>Accrued interest on deferred payment obligation for spectrum and others transferred to borrowing</t>
  </si>
  <si>
    <t>Acquisition of spectrum through deferred payment obligation</t>
  </si>
  <si>
    <t>Accrued interest on deferred payment obligation for spectrum</t>
  </si>
  <si>
    <t>FY2025-26 (AR 2025-26, in ₹ Crore; no derivative-liabilities column in this report)</t>
  </si>
  <si>
    <t>As at March 31, 2025 (as printed in AR 2025-26; differs from the row above only by rounding to whole crore)</t>
  </si>
  <si>
    <t>Proceeds from borrowings (net)</t>
  </si>
  <si>
    <t>Repayment of borrowings</t>
  </si>
  <si>
    <t>Payment of Deferred Payment obligation pursuant to AGR judgement</t>
  </si>
  <si>
    <t>Modification gain of Deferred Payment obligation towards AGR</t>
  </si>
  <si>
    <t>Accrued interest on Deferred Payment obligation for Spectrum and others transferred to borrowing</t>
  </si>
  <si>
    <t>Accrued interest on Deferred Payment obligation for Spectrum capitalised</t>
  </si>
  <si>
    <t>Source: Vodafone Idea Limited annual reports 2022-23 to 2025-26, table printed after the consolidated Statement of Cash Flows. Prepared under the indirect method (Ind AS 7). Each year's block is taken from its own year's report.</t>
  </si>
  <si>
    <t>TIE-OUT: every sub-total re-added from its line items, and cross-checked between statements</t>
  </si>
  <si>
    <t>Each cell is the difference (recomputed minus reported) in ₹ Crore, rounded to 1 decimal. Nil = ties. Blank = not applicable to that year.</t>
  </si>
  <si>
    <t>Overall status</t>
  </si>
  <si>
    <t>Check</t>
  </si>
  <si>
    <t>FY2021-22</t>
  </si>
  <si>
    <t>FY2022-23</t>
  </si>
  <si>
    <t>FY2023-24</t>
  </si>
  <si>
    <t>FY2024-25</t>
  </si>
  <si>
    <t>FY2025-26</t>
  </si>
  <si>
    <t>Status</t>
  </si>
  <si>
    <t>Balance Sheet</t>
  </si>
  <si>
    <t>Balance sheet balances: Total Assets less Total Equity and Liabilities</t>
  </si>
  <si>
    <t>Statement of Profit and Loss</t>
  </si>
  <si>
    <t>Total expenses before finance costs, depreciation and amortisation</t>
  </si>
  <si>
    <t>Profit / (Loss) before finance costs, depreciation, amortisation, JV share, exceptional items and tax</t>
  </si>
  <si>
    <t>Profit / (Loss) before share of JV and associates, exceptional items and tax</t>
  </si>
  <si>
    <t>Other comprehensive income / (loss), net of tax</t>
  </si>
  <si>
    <t>Statement of Cash Flows</t>
  </si>
  <si>
    <t>Net increase / (decrease) in cash and cash equivalents</t>
  </si>
  <si>
    <t>Opening cash of the year = closing cash of the previous year (FY2025-26: within half a crore, as that report rounds to whole crore)</t>
  </si>
  <si>
    <t>Cross-statement agreement</t>
  </si>
  <si>
    <t>Closing cash in Cash Flow Statement = Cash and cash equivalents on Balance Sheet</t>
  </si>
  <si>
    <t>Profit / (Loss) before tax: Cash Flow Statement = Statement of Profit and Loss</t>
  </si>
  <si>
    <t>Depreciation: Cash Flow Statement = Statement of Profit and Loss</t>
  </si>
  <si>
    <t>Amortisation: Cash Flow Statement = Statement of Profit and Loss</t>
  </si>
  <si>
    <t>Finance costs: Cash Flow Statement = Statement of Profit and Loss</t>
  </si>
  <si>
    <t>Total comprehensive income: Changes in Equity = Statement of Profit and Loss</t>
  </si>
  <si>
    <t>Equity share capital: Changes in Equity = Balance Sheet</t>
  </si>
  <si>
    <t>Other equity (closing): Changes in Equity = Balance Sheet</t>
  </si>
  <si>
    <t>Borrowings (loans + deferred payment obligations, incl. current maturities): Financing table = Balance Sheet</t>
  </si>
  <si>
    <t>Lease liabilities: Financing table = Balance Sheet (non-current + current)</t>
  </si>
  <si>
    <t>Statement of Changes in Equity - roll-forwards</t>
  </si>
  <si>
    <t>Equity share capital - Number of shares: opening + issues = closing</t>
  </si>
  <si>
    <t>Equity share capital - Amount (₹ Crore): opening + issues = closing</t>
  </si>
  <si>
    <t>Other equity - Capital reserve: opening + movements = closing</t>
  </si>
  <si>
    <t>Other equity - Capital reduction reserve: opening + movements = closing</t>
  </si>
  <si>
    <t>Other equity - Debenture redemption reserve: opening + movements = closing</t>
  </si>
  <si>
    <t>Other equity - Securities premium: opening + movements = closing</t>
  </si>
  <si>
    <t>Other equity - Amalgamation adjustment deficit account: opening + movements = closing</t>
  </si>
  <si>
    <t>Other equity - General reserve: opening + movements = closing</t>
  </si>
  <si>
    <t>Other equity - Retained earnings: opening + movements = closing</t>
  </si>
  <si>
    <t>Other equity - Employee stock options reserve: opening + movements = closing</t>
  </si>
  <si>
    <t>Other equity - Convertible share warrants / Share application amount: opening + movements = closing</t>
  </si>
  <si>
    <t>Other equity - Total other equity: opening + movements = closing</t>
  </si>
  <si>
    <t>Other equity closing: the nine reserve columns add up to the Total column</t>
  </si>
  <si>
    <t>Financing liabilities table - roll-forwards</t>
  </si>
  <si>
    <t>Loans from banks and others: opening + movements = closing</t>
  </si>
  <si>
    <t>Deferred payment obligations: opening + movements = closing</t>
  </si>
  <si>
    <t>Derivative liabilities (net): opening + movements = closing</t>
  </si>
  <si>
    <t>Interest accrued but not due: opening + movements = closing</t>
  </si>
  <si>
    <t>Lease liabilities: opening + movements = closing</t>
  </si>
  <si>
    <t>Each check recomputes a total with a formula from the figures typed on the other sheets and compares it with the total printed in the report.</t>
  </si>
  <si>
    <t>Figures are used exactly as printed (already rounded by the Group), so a nil difference means the reported statements foot.</t>
  </si>
  <si>
    <t>&lt;- other income</t>
  </si>
  <si>
    <t>&lt;- other expense</t>
  </si>
  <si>
    <t>&lt;- operating expenses</t>
  </si>
  <si>
    <t>&lt;- Tax</t>
  </si>
  <si>
    <t>&lt;-accounts receivables</t>
  </si>
  <si>
    <t>&lt;-Cash &amp; Bank</t>
  </si>
  <si>
    <t>&lt;- Inventory</t>
  </si>
  <si>
    <t>&lt;- Fixed Assets</t>
  </si>
  <si>
    <t>&lt;-Investments</t>
  </si>
  <si>
    <t>&lt;- Assets which are sale</t>
  </si>
  <si>
    <t>&lt;- Other Assets</t>
  </si>
  <si>
    <t>&lt;- Tax assets</t>
  </si>
  <si>
    <t>&lt;- Accounts Payable</t>
  </si>
  <si>
    <t>&lt;- Lease liabilities</t>
  </si>
  <si>
    <t>&lt;- Provisions</t>
  </si>
  <si>
    <t>&lt;- Total Debt</t>
  </si>
  <si>
    <t>&lt;- Tax liabilities</t>
  </si>
  <si>
    <t>&lt;-Other liabilities</t>
  </si>
  <si>
    <t>&lt;- Depreciation</t>
  </si>
  <si>
    <t>&lt;- Change in working capital</t>
  </si>
  <si>
    <t>&lt;- pension &amp; Other items</t>
  </si>
  <si>
    <t>&lt;- Capex</t>
  </si>
  <si>
    <t>&lt;- Others</t>
  </si>
  <si>
    <t>&lt;- Change in Debt</t>
  </si>
  <si>
    <t>&lt;- Cash Changes</t>
  </si>
  <si>
    <t>Drivers</t>
  </si>
  <si>
    <t>For Income statement</t>
  </si>
  <si>
    <t>CAGR for Revenue</t>
  </si>
  <si>
    <t>Product - COGS % Revenue</t>
  </si>
  <si>
    <t>Services - COGS % Revenue</t>
  </si>
  <si>
    <t>Opex % Revenue</t>
  </si>
  <si>
    <t>Effective finance cost rate</t>
  </si>
  <si>
    <t>Tax Rate -. Assumption</t>
  </si>
  <si>
    <t xml:space="preserve"> </t>
  </si>
  <si>
    <t>Component</t>
  </si>
  <si>
    <t>Gain on mutual funds (including fair value gain/loss)</t>
  </si>
  <si>
    <t>Profit on sale of equity instruments</t>
  </si>
  <si>
    <t>Others</t>
  </si>
  <si>
    <t>Total other income</t>
  </si>
  <si>
    <t>For Balance Sheet</t>
  </si>
  <si>
    <t>Accounts Receivable % Revenue:</t>
  </si>
  <si>
    <t>Inventory &amp; Others % COGS:</t>
  </si>
  <si>
    <t>Other Assets % Op.Ex:</t>
  </si>
  <si>
    <t>Accounts Payable % COGS:</t>
  </si>
  <si>
    <t>Lease Liabilities % Op.Ex:</t>
  </si>
  <si>
    <t>Other Liabilities % Total Expenses:</t>
  </si>
  <si>
    <t>As per the Fy 25-27 report that the VI company is planning to raise
Equity worth of ₹45000 cr in Fy 27-29, So lets assume that it will equally for the forecasting years</t>
  </si>
  <si>
    <t>For Cashflow</t>
  </si>
  <si>
    <t>CapEx % Revenue</t>
  </si>
  <si>
    <t>Depreciation % Revenue</t>
  </si>
  <si>
    <t>Amortization % Revenue</t>
  </si>
  <si>
    <t>Pensions / Other Items:</t>
  </si>
  <si>
    <t>Acquisitions &amp; Other:</t>
  </si>
  <si>
    <t>New funding required:</t>
  </si>
  <si>
    <t>Common Dividends % Net Income</t>
  </si>
  <si>
    <t>Minimum year-end cash:</t>
  </si>
  <si>
    <t>FORECAST</t>
  </si>
  <si>
    <t>Income Statement:</t>
  </si>
  <si>
    <t>Products:</t>
  </si>
  <si>
    <t>Services:</t>
  </si>
  <si>
    <t>Total Income:</t>
  </si>
  <si>
    <t>Cost of Products:</t>
  </si>
  <si>
    <t>Cost of Services:</t>
  </si>
  <si>
    <t>Operating Expenses:</t>
  </si>
  <si>
    <t>Operating Income:</t>
  </si>
  <si>
    <t>+/- Other Income / Expense</t>
  </si>
  <si>
    <t>+ Other Income</t>
  </si>
  <si>
    <t>- Other Expense</t>
  </si>
  <si>
    <t>- Non-Service Pension Expense</t>
  </si>
  <si>
    <t>- Depreciation</t>
  </si>
  <si>
    <t>- Amortisation</t>
  </si>
  <si>
    <t>+/- Interest Income / Expense</t>
  </si>
  <si>
    <t>+ Interest Income:</t>
  </si>
  <si>
    <t>- Interest expense:</t>
  </si>
  <si>
    <t>Pre-tax Income:</t>
  </si>
  <si>
    <t>Income taxes:</t>
  </si>
  <si>
    <t>Net Income:</t>
  </si>
  <si>
    <t>(-) Re-measurement gain / (loss) on defined benefit plans</t>
  </si>
  <si>
    <t>Net Income to Parent:</t>
  </si>
  <si>
    <t>Balance sheet</t>
  </si>
  <si>
    <t>Assets:</t>
  </si>
  <si>
    <t>Cash &amp; Bank</t>
  </si>
  <si>
    <t>Accounts Receivable:</t>
  </si>
  <si>
    <t>Inventory &amp; Others:</t>
  </si>
  <si>
    <t>Net PP&amp;E, Goodwill &amp; Intangible assets:</t>
  </si>
  <si>
    <t>Investments accounted for using the 
equity method:</t>
  </si>
  <si>
    <t>Assets which are for Sale:</t>
  </si>
  <si>
    <t>Tax Assets</t>
  </si>
  <si>
    <t>Other Assets:</t>
  </si>
  <si>
    <t>Total Assets:</t>
  </si>
  <si>
    <t>Liabilities &amp; Equity</t>
  </si>
  <si>
    <t>Accounts Payable:</t>
  </si>
  <si>
    <t>Lease Liabilities:</t>
  </si>
  <si>
    <t>Provisions:</t>
  </si>
  <si>
    <t>Total Debt:</t>
  </si>
  <si>
    <t>Tax Liabilities</t>
  </si>
  <si>
    <t>Other Liabilities:</t>
  </si>
  <si>
    <t>Total Liabilities:</t>
  </si>
  <si>
    <t>Total Equtiy</t>
  </si>
  <si>
    <t>Total Liabilities &amp; Equity</t>
  </si>
  <si>
    <t>CashFlow Statements</t>
  </si>
  <si>
    <t>Cashflow from Operations</t>
  </si>
  <si>
    <t>Net Income before Tax</t>
  </si>
  <si>
    <t>(+/-) Depreciation</t>
  </si>
  <si>
    <t>(+/-) Amortization</t>
  </si>
  <si>
    <t>(+/-) Pensions / Other Items:</t>
  </si>
  <si>
    <t>(+/-) Change in working capital:</t>
  </si>
  <si>
    <t>(+/-) Income Tax refund</t>
  </si>
  <si>
    <t>Cashflow from Operations:</t>
  </si>
  <si>
    <t>Cashflow from Investing</t>
  </si>
  <si>
    <t>(-)CapEx:</t>
  </si>
  <si>
    <t>(-) Acquisitions &amp; Other:</t>
  </si>
  <si>
    <t>Cashflow from Investing:</t>
  </si>
  <si>
    <t>Cashflow from Financing</t>
  </si>
  <si>
    <t>(+/-) changes in Debt:</t>
  </si>
  <si>
    <t>&lt;- this is mentioned in VI's Fy 25-26 Annual report, Based on that we brought this numbers</t>
  </si>
  <si>
    <t>(-) Common Dividends:</t>
  </si>
  <si>
    <t>(-) Stock Repurchases:</t>
  </si>
  <si>
    <t>(+/-) New funding less interest paid:</t>
  </si>
  <si>
    <t>Cashflow from Financing:</t>
  </si>
  <si>
    <t>Net Change in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</si>
</sst>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₹&quot;* #,##0.00_);_(&quot;₹&quot;* \(#,##0.00\);_(&quot;₹&quot;* &quot;-&quot;??_);_(@_)"/>
    <numFmt numFmtId="43" formatCode="_(* #,##0.00_);_(* \(#,##0.00\);_(* &quot;-&quot;??_);_(@_)"/>
    <numFmt numFmtId="164" formatCode="#,##0.0;\(#,##0.0\);\-"/>
    <numFmt numFmtId="165" formatCode="0.00;\(0.00\)"/>
    <numFmt numFmtId="166" formatCode="#,##0;\(#,##0\);\-"/>
    <numFmt numFmtId="167" formatCode="#,##0.0_);\(#,##0.0\)"/>
    <numFmt numFmtId="168" formatCode="&quot;FY&quot;\ yy"/>
    <numFmt numFmtId="169" formatCode="_ [$₹-4009]\ * #,##0.00_ ;_ [$₹-4009]\ * \-#,##0.00_ ;_ [$₹-4009]\ * &quot;-&quot;??_ ;_ @_ "/>
  </numFmts>
  <fonts count="2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i/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7" tint="0.39997558519241921"/>
      <name val="Calibri"/>
      <scheme val="minor"/>
    </font>
    <font>
      <sz val="12"/>
      <color theme="0"/>
      <name val="Calibri"/>
      <scheme val="minor"/>
    </font>
    <font>
      <b/>
      <sz val="12"/>
      <color theme="0"/>
      <name val="Calibri"/>
      <scheme val="minor"/>
    </font>
    <font>
      <i/>
      <sz val="10"/>
      <color theme="1"/>
      <name val="Calibri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i/>
      <sz val="11"/>
      <color theme="1"/>
      <name val="Calibri"/>
      <scheme val="minor"/>
    </font>
    <font>
      <sz val="12"/>
      <color theme="3" tint="0.499984740745262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D9E1F2"/>
        <bgColor rgb="FFF2F2F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4">
    <xf numFmtId="0" fontId="0" fillId="0" borderId="0"/>
    <xf numFmtId="43" fontId="1" fillId="0" borderId="0" applyBorder="0" applyAlignment="0" applyProtection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92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2" borderId="0" xfId="0" applyFill="1"/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 indent="1"/>
    </xf>
    <xf numFmtId="164" fontId="8" fillId="0" borderId="0" xfId="0" applyNumberFormat="1" applyFont="1" applyAlignment="1">
      <alignment horizontal="right" vertical="top"/>
    </xf>
    <xf numFmtId="0" fontId="3" fillId="0" borderId="0" xfId="0" applyFont="1" applyAlignment="1">
      <alignment vertical="top" wrapText="1" indent="2"/>
    </xf>
    <xf numFmtId="164" fontId="9" fillId="0" borderId="1" xfId="0" applyNumberFormat="1" applyFont="1" applyBorder="1" applyAlignment="1">
      <alignment horizontal="right" vertical="top"/>
    </xf>
    <xf numFmtId="164" fontId="9" fillId="0" borderId="2" xfId="0" applyNumberFormat="1" applyFont="1" applyBorder="1" applyAlignment="1">
      <alignment horizontal="right" vertical="top"/>
    </xf>
    <xf numFmtId="0" fontId="3" fillId="0" borderId="0" xfId="0" applyFont="1" applyAlignment="1">
      <alignment vertical="top" wrapText="1" indent="3"/>
    </xf>
    <xf numFmtId="165" fontId="8" fillId="0" borderId="0" xfId="0" applyNumberFormat="1" applyFont="1" applyAlignment="1">
      <alignment horizontal="right" vertical="top"/>
    </xf>
    <xf numFmtId="166" fontId="9" fillId="0" borderId="1" xfId="0" applyNumberFormat="1" applyFont="1" applyBorder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166" fontId="9" fillId="0" borderId="2" xfId="0" applyNumberFormat="1" applyFont="1" applyBorder="1" applyAlignment="1">
      <alignment horizontal="right" vertical="top"/>
    </xf>
    <xf numFmtId="0" fontId="10" fillId="0" borderId="0" xfId="0" applyFont="1"/>
    <xf numFmtId="0" fontId="4" fillId="2" borderId="0" xfId="0" applyFont="1" applyFill="1"/>
    <xf numFmtId="164" fontId="3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center" vertical="top"/>
    </xf>
    <xf numFmtId="164" fontId="11" fillId="0" borderId="0" xfId="0" applyNumberFormat="1" applyFont="1" applyAlignment="1">
      <alignment horizontal="right" vertical="top"/>
    </xf>
    <xf numFmtId="167" fontId="0" fillId="0" borderId="0" xfId="0" applyNumberFormat="1"/>
    <xf numFmtId="164" fontId="12" fillId="0" borderId="0" xfId="0" applyNumberFormat="1" applyFont="1" applyAlignment="1">
      <alignment horizontal="right" vertical="top"/>
    </xf>
    <xf numFmtId="164" fontId="0" fillId="0" borderId="0" xfId="0" applyNumberFormat="1"/>
    <xf numFmtId="43" fontId="1" fillId="0" borderId="0" xfId="1"/>
    <xf numFmtId="0" fontId="13" fillId="0" borderId="0" xfId="0" applyFont="1"/>
    <xf numFmtId="44" fontId="0" fillId="0" borderId="0" xfId="0" applyNumberFormat="1"/>
    <xf numFmtId="0" fontId="15" fillId="4" borderId="0" xfId="0" applyFont="1" applyFill="1"/>
    <xf numFmtId="168" fontId="15" fillId="4" borderId="0" xfId="0" applyNumberFormat="1" applyFont="1" applyFill="1"/>
    <xf numFmtId="168" fontId="15" fillId="5" borderId="0" xfId="0" applyNumberFormat="1" applyFont="1" applyFill="1"/>
    <xf numFmtId="0" fontId="16" fillId="6" borderId="0" xfId="0" applyFont="1" applyFill="1"/>
    <xf numFmtId="0" fontId="15" fillId="6" borderId="0" xfId="0" applyFont="1" applyFill="1"/>
    <xf numFmtId="168" fontId="15" fillId="6" borderId="0" xfId="0" applyNumberFormat="1" applyFont="1" applyFill="1"/>
    <xf numFmtId="0" fontId="17" fillId="6" borderId="0" xfId="0" applyFont="1" applyFill="1"/>
    <xf numFmtId="10" fontId="17" fillId="6" borderId="0" xfId="3" applyNumberFormat="1" applyFont="1" applyFill="1"/>
    <xf numFmtId="10" fontId="16" fillId="6" borderId="0" xfId="0" applyNumberFormat="1" applyFont="1" applyFill="1"/>
    <xf numFmtId="10" fontId="17" fillId="6" borderId="0" xfId="0" applyNumberFormat="1" applyFont="1" applyFill="1"/>
    <xf numFmtId="43" fontId="16" fillId="6" borderId="0" xfId="1" applyFont="1" applyFill="1"/>
    <xf numFmtId="44" fontId="15" fillId="6" borderId="0" xfId="2" applyFont="1" applyFill="1"/>
    <xf numFmtId="44" fontId="16" fillId="6" borderId="0" xfId="3" applyNumberFormat="1" applyFont="1" applyFill="1"/>
    <xf numFmtId="9" fontId="16" fillId="6" borderId="0" xfId="0" applyNumberFormat="1" applyFont="1" applyFill="1"/>
    <xf numFmtId="9" fontId="16" fillId="6" borderId="0" xfId="3" applyFont="1" applyFill="1"/>
    <xf numFmtId="0" fontId="16" fillId="6" borderId="0" xfId="0" applyFont="1" applyFill="1" applyAlignment="1">
      <alignment horizontal="left" indent="1"/>
    </xf>
    <xf numFmtId="44" fontId="16" fillId="6" borderId="0" xfId="2" applyFont="1" applyFill="1"/>
    <xf numFmtId="0" fontId="16" fillId="6" borderId="0" xfId="0" applyFont="1" applyFill="1" applyAlignment="1">
      <alignment horizontal="left" wrapText="1" indent="1"/>
    </xf>
    <xf numFmtId="9" fontId="16" fillId="6" borderId="0" xfId="3" applyFont="1" applyFill="1" applyAlignment="1">
      <alignment horizontal="center" vertical="center"/>
    </xf>
    <xf numFmtId="10" fontId="16" fillId="6" borderId="0" xfId="3" applyNumberFormat="1" applyFont="1" applyFill="1"/>
    <xf numFmtId="43" fontId="16" fillId="6" borderId="0" xfId="3" applyNumberFormat="1" applyFont="1" applyFill="1"/>
    <xf numFmtId="43" fontId="16" fillId="6" borderId="0" xfId="0" applyNumberFormat="1" applyFont="1" applyFill="1"/>
    <xf numFmtId="0" fontId="18" fillId="6" borderId="0" xfId="0" applyFont="1" applyFill="1"/>
    <xf numFmtId="0" fontId="15" fillId="6" borderId="0" xfId="0" applyFont="1" applyFill="1" applyAlignment="1">
      <alignment horizontal="centerContinuous"/>
    </xf>
    <xf numFmtId="0" fontId="16" fillId="6" borderId="0" xfId="0" applyFont="1" applyFill="1" applyAlignment="1">
      <alignment horizontal="centerContinuous"/>
    </xf>
    <xf numFmtId="0" fontId="19" fillId="7" borderId="0" xfId="0" applyFont="1" applyFill="1"/>
    <xf numFmtId="168" fontId="19" fillId="7" borderId="0" xfId="0" applyNumberFormat="1" applyFont="1" applyFill="1"/>
    <xf numFmtId="168" fontId="19" fillId="5" borderId="0" xfId="0" applyNumberFormat="1" applyFont="1" applyFill="1"/>
    <xf numFmtId="0" fontId="16" fillId="5" borderId="0" xfId="0" applyFont="1" applyFill="1"/>
    <xf numFmtId="43" fontId="16" fillId="5" borderId="0" xfId="0" applyNumberFormat="1" applyFont="1" applyFill="1"/>
    <xf numFmtId="43" fontId="16" fillId="6" borderId="0" xfId="1" applyFont="1" applyFill="1" applyBorder="1"/>
    <xf numFmtId="44" fontId="15" fillId="6" borderId="1" xfId="2" applyFont="1" applyFill="1" applyBorder="1"/>
    <xf numFmtId="44" fontId="15" fillId="5" borderId="1" xfId="2" applyFont="1" applyFill="1" applyBorder="1"/>
    <xf numFmtId="9" fontId="16" fillId="6" borderId="0" xfId="2" applyNumberFormat="1" applyFont="1" applyFill="1"/>
    <xf numFmtId="43" fontId="16" fillId="5" borderId="0" xfId="1" applyFont="1" applyFill="1"/>
    <xf numFmtId="0" fontId="16" fillId="6" borderId="0" xfId="0" quotePrefix="1" applyFont="1" applyFill="1" applyAlignment="1">
      <alignment horizontal="left" indent="1"/>
    </xf>
    <xf numFmtId="0" fontId="20" fillId="6" borderId="0" xfId="0" quotePrefix="1" applyFont="1" applyFill="1" applyAlignment="1">
      <alignment horizontal="left" indent="2"/>
    </xf>
    <xf numFmtId="43" fontId="21" fillId="5" borderId="0" xfId="1" applyFont="1" applyFill="1"/>
    <xf numFmtId="43" fontId="22" fillId="5" borderId="0" xfId="1" applyFont="1" applyFill="1"/>
    <xf numFmtId="43" fontId="21" fillId="5" borderId="0" xfId="0" applyNumberFormat="1" applyFont="1" applyFill="1"/>
    <xf numFmtId="43" fontId="22" fillId="5" borderId="0" xfId="0" applyNumberFormat="1" applyFont="1" applyFill="1"/>
    <xf numFmtId="0" fontId="22" fillId="5" borderId="0" xfId="0" applyFont="1" applyFill="1"/>
    <xf numFmtId="43" fontId="23" fillId="6" borderId="0" xfId="1" applyFont="1" applyFill="1"/>
    <xf numFmtId="43" fontId="23" fillId="5" borderId="0" xfId="0" applyNumberFormat="1" applyFont="1" applyFill="1"/>
    <xf numFmtId="44" fontId="15" fillId="5" borderId="0" xfId="2" applyFont="1" applyFill="1"/>
    <xf numFmtId="0" fontId="16" fillId="6" borderId="0" xfId="0" applyFont="1" applyFill="1" applyAlignment="1">
      <alignment wrapText="1"/>
    </xf>
    <xf numFmtId="43" fontId="16" fillId="6" borderId="0" xfId="1" applyFont="1" applyFill="1" applyAlignment="1">
      <alignment horizontal="center" vertical="center"/>
    </xf>
    <xf numFmtId="0" fontId="15" fillId="6" borderId="1" xfId="0" applyFont="1" applyFill="1" applyBorder="1"/>
    <xf numFmtId="169" fontId="15" fillId="6" borderId="1" xfId="0" applyNumberFormat="1" applyFont="1" applyFill="1" applyBorder="1"/>
    <xf numFmtId="169" fontId="15" fillId="6" borderId="0" xfId="0" applyNumberFormat="1" applyFont="1" applyFill="1"/>
    <xf numFmtId="169" fontId="16" fillId="6" borderId="0" xfId="0" applyNumberFormat="1" applyFont="1" applyFill="1"/>
    <xf numFmtId="0" fontId="15" fillId="6" borderId="0" xfId="0" applyFont="1" applyFill="1" applyAlignment="1">
      <alignment horizontal="left" indent="1"/>
    </xf>
    <xf numFmtId="0" fontId="16" fillId="6" borderId="0" xfId="0" applyFont="1" applyFill="1" applyAlignment="1">
      <alignment horizontal="left" indent="2"/>
    </xf>
    <xf numFmtId="44" fontId="16" fillId="6" borderId="0" xfId="0" applyNumberFormat="1" applyFont="1" applyFill="1"/>
    <xf numFmtId="43" fontId="24" fillId="6" borderId="0" xfId="1" applyFont="1" applyFill="1"/>
    <xf numFmtId="44" fontId="4" fillId="0" borderId="2" xfId="2" applyFont="1" applyBorder="1" applyAlignment="1">
      <alignment vertical="top" wrapText="1"/>
    </xf>
    <xf numFmtId="44" fontId="15" fillId="6" borderId="2" xfId="2" applyFont="1" applyFill="1" applyBorder="1"/>
  </cellXfs>
  <cellStyles count="4">
    <cellStyle name="Comma" xfId="1" builtinId="3"/>
    <cellStyle name="Currency" xfId="2" builtinId="4"/>
    <cellStyle name="Normal" xfId="0" builtinId="0"/>
    <cellStyle name="Per cent" xfId="3" builtinId="5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ounika/Desktop/Assignments/VI%20Financial%20Modeling/3%20statement%20Model.xlsx" TargetMode="External"/><Relationship Id="rId1" Type="http://schemas.openxmlformats.org/officeDocument/2006/relationships/externalLinkPath" Target="3%20statement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tatements"/>
    </sheetNames>
    <sheetDataSet>
      <sheetData sheetId="0">
        <row r="92">
          <cell r="C92">
            <v>207242.7</v>
          </cell>
        </row>
        <row r="123">
          <cell r="C123">
            <v>18868.699999999997</v>
          </cell>
          <cell r="D123">
            <v>20826.100000000006</v>
          </cell>
          <cell r="E123">
            <v>9290.9</v>
          </cell>
          <cell r="F123">
            <v>19411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84768-6283-C444-A7F5-88A376415C21}">
  <dimension ref="A2:N140"/>
  <sheetViews>
    <sheetView tabSelected="1" topLeftCell="A44" zoomScale="121" zoomScaleNormal="120" workbookViewId="0">
      <selection activeCell="C84" sqref="C84"/>
    </sheetView>
  </sheetViews>
  <sheetFormatPr baseColWidth="10" defaultRowHeight="16" x14ac:dyDescent="0.2"/>
  <cols>
    <col min="1" max="1" width="1.5" style="38" bestFit="1" customWidth="1"/>
    <col min="2" max="2" width="55.1640625" style="38" bestFit="1" customWidth="1"/>
    <col min="3" max="3" width="13" style="38" bestFit="1" customWidth="1"/>
    <col min="4" max="4" width="13.6640625" style="38" bestFit="1" customWidth="1"/>
    <col min="5" max="6" width="13" style="38" bestFit="1" customWidth="1"/>
    <col min="7" max="7" width="13" style="38" customWidth="1"/>
    <col min="8" max="8" width="13" style="38" bestFit="1" customWidth="1"/>
    <col min="9" max="11" width="13.6640625" style="38" bestFit="1" customWidth="1"/>
    <col min="12" max="12" width="73.6640625" style="38" bestFit="1" customWidth="1"/>
    <col min="13" max="16384" width="10.83203125" style="38"/>
  </cols>
  <sheetData>
    <row r="2" spans="2:11" x14ac:dyDescent="0.2">
      <c r="B2" s="35" t="s">
        <v>379</v>
      </c>
      <c r="C2" s="36">
        <f>C49</f>
        <v>45291</v>
      </c>
      <c r="D2" s="36">
        <f t="shared" ref="D2:K2" si="0">D49</f>
        <v>45657</v>
      </c>
      <c r="E2" s="36">
        <f t="shared" si="0"/>
        <v>46022</v>
      </c>
      <c r="F2" s="36">
        <f t="shared" si="0"/>
        <v>46387</v>
      </c>
      <c r="G2" s="37">
        <f t="shared" si="0"/>
        <v>46752</v>
      </c>
      <c r="H2" s="37">
        <f t="shared" si="0"/>
        <v>47118</v>
      </c>
      <c r="I2" s="37">
        <f t="shared" si="0"/>
        <v>47483</v>
      </c>
      <c r="J2" s="37">
        <f t="shared" si="0"/>
        <v>47848</v>
      </c>
      <c r="K2" s="37">
        <f t="shared" si="0"/>
        <v>48213</v>
      </c>
    </row>
    <row r="3" spans="2:11" x14ac:dyDescent="0.2">
      <c r="B3" s="39" t="s">
        <v>380</v>
      </c>
      <c r="C3" s="40"/>
      <c r="D3" s="40"/>
      <c r="E3" s="40"/>
      <c r="F3" s="40"/>
      <c r="G3" s="40"/>
      <c r="H3" s="40"/>
      <c r="I3" s="40"/>
      <c r="J3" s="40"/>
      <c r="K3" s="40"/>
    </row>
    <row r="4" spans="2:11" x14ac:dyDescent="0.2">
      <c r="B4" s="38" t="s">
        <v>381</v>
      </c>
      <c r="C4" s="41"/>
      <c r="D4" s="42">
        <f>D52/C53 -1</f>
        <v>9.7834495261328591E-3</v>
      </c>
      <c r="E4" s="42">
        <f t="shared" ref="E4:F4" si="1">E52/D53 -1</f>
        <v>2.0701059599226523E-2</v>
      </c>
      <c r="F4" s="42">
        <f t="shared" si="1"/>
        <v>3.0513622974963184E-2</v>
      </c>
      <c r="G4" s="43">
        <f>AVERAGE(D4:F4)</f>
        <v>2.0332710700107521E-2</v>
      </c>
      <c r="H4" s="43">
        <f>G4</f>
        <v>2.0332710700107521E-2</v>
      </c>
      <c r="I4" s="43">
        <f t="shared" ref="I4:K4" si="2">H4</f>
        <v>2.0332710700107521E-2</v>
      </c>
      <c r="J4" s="43">
        <f t="shared" si="2"/>
        <v>2.0332710700107521E-2</v>
      </c>
      <c r="K4" s="43">
        <f t="shared" si="2"/>
        <v>2.0332710700107521E-2</v>
      </c>
    </row>
    <row r="5" spans="2:11" x14ac:dyDescent="0.2">
      <c r="C5" s="41"/>
      <c r="D5" s="42"/>
      <c r="E5" s="42"/>
      <c r="F5" s="42"/>
      <c r="G5" s="43"/>
      <c r="H5" s="43"/>
      <c r="I5" s="43"/>
      <c r="J5" s="43"/>
      <c r="K5" s="43"/>
    </row>
    <row r="6" spans="2:11" x14ac:dyDescent="0.2">
      <c r="B6" s="38" t="s">
        <v>382</v>
      </c>
      <c r="C6" s="44">
        <f>C55/C$53</f>
        <v>1.8508587510025485E-4</v>
      </c>
      <c r="D6" s="44">
        <f t="shared" ref="D6:F6" si="3">D55/D$53</f>
        <v>3.664320092453614E-4</v>
      </c>
      <c r="E6" s="44">
        <f t="shared" si="3"/>
        <v>3.9120029455080998E-5</v>
      </c>
      <c r="F6" s="44">
        <f t="shared" si="3"/>
        <v>1.3396146375226059E-4</v>
      </c>
      <c r="G6" s="43">
        <f>AVERAGE(C6:F6)</f>
        <v>1.8114984438823945E-4</v>
      </c>
      <c r="H6" s="43">
        <f>G6</f>
        <v>1.8114984438823945E-4</v>
      </c>
      <c r="I6" s="43">
        <f t="shared" ref="I6:K6" si="4">H6</f>
        <v>1.8114984438823945E-4</v>
      </c>
      <c r="J6" s="43">
        <f t="shared" si="4"/>
        <v>1.8114984438823945E-4</v>
      </c>
      <c r="K6" s="43">
        <f t="shared" si="4"/>
        <v>1.8114984438823945E-4</v>
      </c>
    </row>
    <row r="7" spans="2:11" x14ac:dyDescent="0.2">
      <c r="B7" s="38" t="s">
        <v>383</v>
      </c>
      <c r="C7" s="44">
        <f t="shared" ref="C7:F8" si="5">C56/C$53</f>
        <v>8.7275108797274015E-2</v>
      </c>
      <c r="D7" s="44">
        <f t="shared" si="5"/>
        <v>0.10054800376767271</v>
      </c>
      <c r="E7" s="44">
        <f t="shared" si="5"/>
        <v>9.4171115611192929E-2</v>
      </c>
      <c r="F7" s="44">
        <f t="shared" si="5"/>
        <v>9.3214851860947995E-2</v>
      </c>
      <c r="G7" s="43">
        <f t="shared" ref="G7:G8" si="6">AVERAGE(C7:F7)</f>
        <v>9.380227000927191E-2</v>
      </c>
      <c r="H7" s="43">
        <f t="shared" ref="H7:K9" si="7">G7</f>
        <v>9.380227000927191E-2</v>
      </c>
      <c r="I7" s="43">
        <f t="shared" si="7"/>
        <v>9.380227000927191E-2</v>
      </c>
      <c r="J7" s="43">
        <f t="shared" si="7"/>
        <v>9.380227000927191E-2</v>
      </c>
      <c r="K7" s="43">
        <f t="shared" si="7"/>
        <v>9.380227000927191E-2</v>
      </c>
    </row>
    <row r="8" spans="2:11" x14ac:dyDescent="0.2">
      <c r="B8" s="38" t="s">
        <v>384</v>
      </c>
      <c r="C8" s="44">
        <f t="shared" si="5"/>
        <v>0.44896850218069129</v>
      </c>
      <c r="D8" s="44">
        <f t="shared" si="5"/>
        <v>0.42669128338113393</v>
      </c>
      <c r="E8" s="44">
        <f t="shared" si="5"/>
        <v>0.41956691826215015</v>
      </c>
      <c r="F8" s="44">
        <f t="shared" si="5"/>
        <v>0.40887271428252475</v>
      </c>
      <c r="G8" s="43">
        <f t="shared" si="6"/>
        <v>0.42602485452662503</v>
      </c>
      <c r="H8" s="43">
        <f t="shared" si="7"/>
        <v>0.42602485452662503</v>
      </c>
      <c r="I8" s="43">
        <f t="shared" si="7"/>
        <v>0.42602485452662503</v>
      </c>
      <c r="J8" s="43">
        <f t="shared" si="7"/>
        <v>0.42602485452662503</v>
      </c>
      <c r="K8" s="43">
        <f t="shared" si="7"/>
        <v>0.42602485452662503</v>
      </c>
    </row>
    <row r="9" spans="2:11" x14ac:dyDescent="0.2">
      <c r="B9" s="38" t="s">
        <v>385</v>
      </c>
      <c r="C9" s="41"/>
      <c r="D9" s="42"/>
      <c r="E9" s="42"/>
      <c r="F9" s="42">
        <f>F68/AVERAGE(E99+E97,F99+F97)</f>
        <v>0.10097316143233917</v>
      </c>
      <c r="G9" s="43">
        <f>F9</f>
        <v>0.10097316143233917</v>
      </c>
      <c r="H9" s="43">
        <f t="shared" si="7"/>
        <v>0.10097316143233917</v>
      </c>
      <c r="I9" s="43">
        <f t="shared" si="7"/>
        <v>0.10097316143233917</v>
      </c>
      <c r="J9" s="43">
        <f t="shared" si="7"/>
        <v>0.10097316143233917</v>
      </c>
      <c r="K9" s="43">
        <f t="shared" si="7"/>
        <v>0.10097316143233917</v>
      </c>
    </row>
    <row r="10" spans="2:11" x14ac:dyDescent="0.2">
      <c r="B10" s="38" t="s">
        <v>386</v>
      </c>
      <c r="C10" s="41"/>
      <c r="D10" s="42"/>
      <c r="E10" s="42"/>
      <c r="F10" s="42" t="s">
        <v>387</v>
      </c>
      <c r="G10" s="43">
        <v>0.3</v>
      </c>
      <c r="H10" s="43">
        <v>0.3</v>
      </c>
      <c r="I10" s="43">
        <v>0.3</v>
      </c>
      <c r="J10" s="43">
        <v>0.3</v>
      </c>
      <c r="K10" s="43">
        <v>0.3</v>
      </c>
    </row>
    <row r="11" spans="2:11" x14ac:dyDescent="0.2">
      <c r="B11" s="38" t="s">
        <v>135</v>
      </c>
      <c r="C11" s="44">
        <f>-C74/C73</f>
        <v>3.9247673295541804E-4</v>
      </c>
      <c r="D11" s="44">
        <f t="shared" ref="D11:F11" si="8">-D74/D73</f>
        <v>-3.0091169842245443E-4</v>
      </c>
      <c r="E11" s="44">
        <f t="shared" si="8"/>
        <v>-6.2812464622340062E-4</v>
      </c>
      <c r="F11" s="44">
        <f t="shared" si="8"/>
        <v>-3.4730261634637646E-4</v>
      </c>
      <c r="G11" s="43">
        <f>-AVERAGE(C11:F11)</f>
        <v>2.2096555700920338E-4</v>
      </c>
      <c r="H11" s="43">
        <f>G11</f>
        <v>2.2096555700920338E-4</v>
      </c>
      <c r="I11" s="43">
        <f t="shared" ref="I11:K11" si="9">H11</f>
        <v>2.2096555700920338E-4</v>
      </c>
      <c r="J11" s="43">
        <f t="shared" si="9"/>
        <v>2.2096555700920338E-4</v>
      </c>
      <c r="K11" s="43">
        <f t="shared" si="9"/>
        <v>2.2096555700920338E-4</v>
      </c>
    </row>
    <row r="12" spans="2:11" x14ac:dyDescent="0.2">
      <c r="C12" s="41"/>
      <c r="D12" s="42"/>
      <c r="E12" s="42"/>
      <c r="F12" s="42"/>
      <c r="G12" s="43"/>
      <c r="H12" s="43"/>
      <c r="I12" s="43"/>
      <c r="J12" s="43"/>
      <c r="K12" s="43"/>
    </row>
    <row r="13" spans="2:11" x14ac:dyDescent="0.2">
      <c r="B13" s="39" t="s">
        <v>388</v>
      </c>
      <c r="C13" s="41"/>
      <c r="D13" s="42"/>
      <c r="E13" s="42"/>
      <c r="F13" s="42"/>
      <c r="G13" s="43"/>
      <c r="H13" s="43"/>
      <c r="I13" s="43"/>
      <c r="J13" s="43"/>
      <c r="K13" s="43"/>
    </row>
    <row r="14" spans="2:11" x14ac:dyDescent="0.2">
      <c r="B14" s="38" t="s">
        <v>158</v>
      </c>
      <c r="C14" s="45">
        <v>247.1</v>
      </c>
      <c r="D14" s="45">
        <v>43.3</v>
      </c>
      <c r="E14" s="45">
        <v>970.3</v>
      </c>
      <c r="F14" s="45">
        <v>506</v>
      </c>
      <c r="G14" s="43"/>
      <c r="H14" s="43"/>
      <c r="I14" s="43"/>
      <c r="J14" s="43"/>
      <c r="K14" s="43"/>
    </row>
    <row r="15" spans="2:11" x14ac:dyDescent="0.2">
      <c r="B15" s="38" t="s">
        <v>389</v>
      </c>
      <c r="C15" s="45">
        <v>29</v>
      </c>
      <c r="D15" s="45">
        <v>23.9</v>
      </c>
      <c r="E15" s="45">
        <v>19.2</v>
      </c>
      <c r="F15" s="45">
        <v>35</v>
      </c>
      <c r="G15" s="43"/>
      <c r="H15" s="43"/>
      <c r="I15" s="43"/>
      <c r="J15" s="43"/>
      <c r="K15" s="43"/>
    </row>
    <row r="16" spans="2:11" x14ac:dyDescent="0.2">
      <c r="B16" s="38" t="s">
        <v>390</v>
      </c>
      <c r="C16" s="45">
        <v>0</v>
      </c>
      <c r="D16" s="45">
        <v>0</v>
      </c>
      <c r="E16" s="45">
        <v>1.3</v>
      </c>
      <c r="F16" s="45">
        <v>0</v>
      </c>
    </row>
    <row r="17" spans="2:11" x14ac:dyDescent="0.2">
      <c r="B17" s="38" t="s">
        <v>391</v>
      </c>
      <c r="C17" s="45">
        <v>35.200000000000003</v>
      </c>
      <c r="D17" s="45">
        <v>46</v>
      </c>
      <c r="E17" s="45">
        <v>29.8</v>
      </c>
      <c r="F17" s="45">
        <v>0</v>
      </c>
    </row>
    <row r="18" spans="2:11" x14ac:dyDescent="0.2">
      <c r="B18" s="39" t="s">
        <v>392</v>
      </c>
      <c r="C18" s="46">
        <f>SUM(C14:C17)</f>
        <v>311.3</v>
      </c>
      <c r="D18" s="46">
        <f t="shared" ref="D18:F18" si="10">SUM(D14:D17)</f>
        <v>113.19999999999999</v>
      </c>
      <c r="E18" s="46">
        <f t="shared" si="10"/>
        <v>1020.5999999999999</v>
      </c>
      <c r="F18" s="46">
        <f t="shared" si="10"/>
        <v>541</v>
      </c>
      <c r="G18" s="47">
        <f>AVERAGE(C18:F18)</f>
        <v>496.52499999999998</v>
      </c>
      <c r="H18" s="48"/>
      <c r="I18" s="48"/>
      <c r="J18" s="48"/>
      <c r="K18" s="48"/>
    </row>
    <row r="19" spans="2:11" x14ac:dyDescent="0.2">
      <c r="B19" s="39"/>
      <c r="C19" s="46"/>
      <c r="D19" s="46"/>
      <c r="E19" s="46"/>
      <c r="F19" s="46"/>
      <c r="G19" s="49"/>
      <c r="H19" s="48"/>
      <c r="I19" s="48"/>
      <c r="J19" s="48"/>
      <c r="K19" s="48"/>
    </row>
    <row r="20" spans="2:11" x14ac:dyDescent="0.2">
      <c r="B20" s="39" t="s">
        <v>393</v>
      </c>
      <c r="C20" s="46"/>
      <c r="D20" s="46"/>
      <c r="E20" s="46"/>
      <c r="F20" s="46"/>
      <c r="G20" s="49"/>
      <c r="H20" s="48"/>
      <c r="I20" s="48"/>
      <c r="J20" s="48"/>
      <c r="K20" s="48"/>
    </row>
    <row r="21" spans="2:11" x14ac:dyDescent="0.2">
      <c r="B21" s="50" t="s">
        <v>394</v>
      </c>
      <c r="C21" s="51"/>
      <c r="D21" s="49">
        <f>D85/D53</f>
        <v>5.1554164993058933E-2</v>
      </c>
      <c r="E21" s="49">
        <f t="shared" ref="E21:F21" si="11">E85/E53</f>
        <v>4.6030467599410894E-2</v>
      </c>
      <c r="F21" s="49">
        <f t="shared" si="11"/>
        <v>4.3961687021366852E-2</v>
      </c>
      <c r="G21" s="49">
        <f>AVERAGE(C21:F21)</f>
        <v>4.7182106537945558E-2</v>
      </c>
      <c r="H21" s="48">
        <f>G21</f>
        <v>4.7182106537945558E-2</v>
      </c>
      <c r="I21" s="48">
        <f t="shared" ref="I21:K21" si="12">H21</f>
        <v>4.7182106537945558E-2</v>
      </c>
      <c r="J21" s="48">
        <f t="shared" si="12"/>
        <v>4.7182106537945558E-2</v>
      </c>
      <c r="K21" s="48">
        <f t="shared" si="12"/>
        <v>4.7182106537945558E-2</v>
      </c>
    </row>
    <row r="22" spans="2:11" x14ac:dyDescent="0.2">
      <c r="B22" s="50" t="s">
        <v>395</v>
      </c>
      <c r="C22" s="51"/>
      <c r="D22" s="49">
        <f>D86/SUM(D55:D56)</f>
        <v>2.7931660537218933E-4</v>
      </c>
      <c r="E22" s="49">
        <f t="shared" ref="E22:F22" si="13">E86/SUM(E55:E56)</f>
        <v>2.6868588177821203E-4</v>
      </c>
      <c r="F22" s="49">
        <f t="shared" si="13"/>
        <v>5.0227218368811286E-3</v>
      </c>
      <c r="G22" s="49">
        <f>AVERAGE(C22:F22)</f>
        <v>1.85690810801051E-3</v>
      </c>
      <c r="H22" s="48">
        <f t="shared" ref="H22:K23" si="14">G22</f>
        <v>1.85690810801051E-3</v>
      </c>
      <c r="I22" s="48">
        <f t="shared" si="14"/>
        <v>1.85690810801051E-3</v>
      </c>
      <c r="J22" s="48">
        <f t="shared" si="14"/>
        <v>1.85690810801051E-3</v>
      </c>
      <c r="K22" s="48">
        <f t="shared" si="14"/>
        <v>1.85690810801051E-3</v>
      </c>
    </row>
    <row r="23" spans="2:11" x14ac:dyDescent="0.2">
      <c r="B23" s="50" t="s">
        <v>396</v>
      </c>
      <c r="C23" s="51"/>
      <c r="D23" s="49">
        <f>D91/D57</f>
        <v>1.3147026765168945</v>
      </c>
      <c r="E23" s="49">
        <f t="shared" ref="E23:F23" si="15">E91/E57</f>
        <v>1.4124786784184462</v>
      </c>
      <c r="F23" s="49">
        <f t="shared" si="15"/>
        <v>1.3882487850161087</v>
      </c>
      <c r="G23" s="49">
        <f>AVERAGE(C23:F23)</f>
        <v>1.3718100466504832</v>
      </c>
      <c r="H23" s="48">
        <f t="shared" si="14"/>
        <v>1.3718100466504832</v>
      </c>
      <c r="I23" s="48">
        <f t="shared" si="14"/>
        <v>1.3718100466504832</v>
      </c>
      <c r="J23" s="48">
        <f t="shared" si="14"/>
        <v>1.3718100466504832</v>
      </c>
      <c r="K23" s="48">
        <f t="shared" si="14"/>
        <v>1.3718100466504832</v>
      </c>
    </row>
    <row r="24" spans="2:11" x14ac:dyDescent="0.2">
      <c r="B24" s="50"/>
      <c r="C24" s="51"/>
      <c r="D24" s="49"/>
      <c r="E24" s="49"/>
      <c r="F24" s="49"/>
      <c r="G24" s="49"/>
      <c r="H24" s="48"/>
      <c r="I24" s="48"/>
      <c r="J24" s="48"/>
      <c r="K24" s="48"/>
    </row>
    <row r="25" spans="2:11" x14ac:dyDescent="0.2">
      <c r="B25" s="50" t="s">
        <v>397</v>
      </c>
      <c r="C25" s="51"/>
      <c r="D25" s="49">
        <f>D96/SUM(D55:D56)</f>
        <v>3.2136772031097243</v>
      </c>
      <c r="E25" s="49">
        <f t="shared" ref="E25:F25" si="16">E96/SUM(E55:E56)</f>
        <v>2.6254030288226673</v>
      </c>
      <c r="F25" s="49">
        <f t="shared" si="16"/>
        <v>2.1109782348720403</v>
      </c>
      <c r="G25" s="49">
        <f t="shared" ref="G25:G27" si="17">AVERAGE(C25:F25)</f>
        <v>2.6500194889348108</v>
      </c>
      <c r="H25" s="48">
        <f t="shared" ref="H25:K27" si="18">G25</f>
        <v>2.6500194889348108</v>
      </c>
      <c r="I25" s="48">
        <f t="shared" si="18"/>
        <v>2.6500194889348108</v>
      </c>
      <c r="J25" s="48">
        <f t="shared" si="18"/>
        <v>2.6500194889348108</v>
      </c>
      <c r="K25" s="48">
        <f t="shared" si="18"/>
        <v>2.6500194889348108</v>
      </c>
    </row>
    <row r="26" spans="2:11" x14ac:dyDescent="0.2">
      <c r="B26" s="50" t="s">
        <v>398</v>
      </c>
      <c r="C26" s="51"/>
      <c r="D26" s="49">
        <f>D97/D57</f>
        <v>1.9916544639809746</v>
      </c>
      <c r="E26" s="49">
        <f t="shared" ref="E26:F26" si="19">E97/E57</f>
        <v>2.0256188057720474</v>
      </c>
      <c r="F26" s="49">
        <f t="shared" si="19"/>
        <v>2.3520449953584883</v>
      </c>
      <c r="G26" s="49">
        <f t="shared" si="17"/>
        <v>2.1231060883705033</v>
      </c>
      <c r="H26" s="48">
        <f t="shared" si="18"/>
        <v>2.1231060883705033</v>
      </c>
      <c r="I26" s="48">
        <f t="shared" si="18"/>
        <v>2.1231060883705033</v>
      </c>
      <c r="J26" s="48">
        <f t="shared" si="18"/>
        <v>2.1231060883705033</v>
      </c>
      <c r="K26" s="48">
        <f t="shared" si="18"/>
        <v>2.1231060883705033</v>
      </c>
    </row>
    <row r="27" spans="2:11" x14ac:dyDescent="0.2">
      <c r="B27" s="50" t="s">
        <v>399</v>
      </c>
      <c r="C27" s="51"/>
      <c r="D27" s="49">
        <f>D101/SUM(D55:D57)</f>
        <v>1.3784859493535633</v>
      </c>
      <c r="E27" s="49">
        <f t="shared" ref="E27:F27" si="20">E101/SUM(E55:E57)</f>
        <v>1.0684830270483325</v>
      </c>
      <c r="F27" s="49">
        <f t="shared" si="20"/>
        <v>1.1427047212590025</v>
      </c>
      <c r="G27" s="49">
        <f t="shared" si="17"/>
        <v>1.1965578992202994</v>
      </c>
      <c r="H27" s="48">
        <f t="shared" si="18"/>
        <v>1.1965578992202994</v>
      </c>
      <c r="I27" s="48">
        <f t="shared" si="18"/>
        <v>1.1965578992202994</v>
      </c>
      <c r="J27" s="48">
        <f t="shared" si="18"/>
        <v>1.1965578992202994</v>
      </c>
      <c r="K27" s="48">
        <f t="shared" si="18"/>
        <v>1.1965578992202994</v>
      </c>
    </row>
    <row r="28" spans="2:11" x14ac:dyDescent="0.2">
      <c r="B28" s="50"/>
      <c r="C28" s="51"/>
      <c r="D28" s="49"/>
      <c r="E28" s="49"/>
      <c r="F28" s="49"/>
      <c r="G28" s="49"/>
      <c r="H28" s="48"/>
      <c r="I28" s="48"/>
      <c r="J28" s="48"/>
      <c r="K28" s="48"/>
    </row>
    <row r="29" spans="2:11" x14ac:dyDescent="0.2">
      <c r="B29" s="50" t="s">
        <v>66</v>
      </c>
      <c r="C29" s="51"/>
      <c r="D29" s="49"/>
      <c r="E29" s="49"/>
      <c r="F29" s="49"/>
      <c r="G29" s="49"/>
      <c r="H29" s="48"/>
      <c r="I29" s="48"/>
      <c r="J29" s="48"/>
      <c r="K29" s="48"/>
    </row>
    <row r="30" spans="2:11" ht="68" x14ac:dyDescent="0.2">
      <c r="B30" s="52" t="s">
        <v>400</v>
      </c>
      <c r="C30" s="51"/>
      <c r="D30" s="49"/>
      <c r="E30" s="49"/>
      <c r="F30" s="49"/>
      <c r="G30" s="53">
        <v>0</v>
      </c>
      <c r="H30" s="53">
        <v>0</v>
      </c>
      <c r="I30" s="53">
        <v>0</v>
      </c>
      <c r="J30" s="53">
        <v>0</v>
      </c>
      <c r="K30" s="53">
        <v>0</v>
      </c>
    </row>
    <row r="31" spans="2:11" x14ac:dyDescent="0.2">
      <c r="B31" s="39"/>
      <c r="C31" s="46"/>
      <c r="D31" s="46"/>
      <c r="E31" s="46"/>
      <c r="F31" s="46"/>
      <c r="G31" s="49"/>
      <c r="H31" s="48"/>
      <c r="I31" s="48"/>
      <c r="J31" s="48"/>
      <c r="K31" s="48"/>
    </row>
    <row r="32" spans="2:11" x14ac:dyDescent="0.2">
      <c r="B32" s="39" t="s">
        <v>401</v>
      </c>
      <c r="C32" s="46"/>
      <c r="D32" s="46"/>
      <c r="E32" s="46"/>
      <c r="F32" s="46"/>
      <c r="G32" s="49"/>
      <c r="H32" s="48"/>
      <c r="I32" s="48"/>
      <c r="J32" s="48"/>
      <c r="K32" s="48"/>
    </row>
    <row r="33" spans="1:11" x14ac:dyDescent="0.2">
      <c r="B33" s="50" t="s">
        <v>402</v>
      </c>
      <c r="C33" s="49">
        <f>-C126/C53</f>
        <v>0.13340894961392985</v>
      </c>
      <c r="D33" s="49">
        <f t="shared" ref="D33:F33" si="21">-D126/D53</f>
        <v>3.790927049494159E-2</v>
      </c>
      <c r="E33" s="49">
        <f t="shared" si="21"/>
        <v>0.23786128497790868</v>
      </c>
      <c r="F33" s="49">
        <f t="shared" si="21"/>
        <v>0.24512715175601152</v>
      </c>
      <c r="G33" s="54">
        <f>-15000/G53</f>
        <v>-0.32822985666200521</v>
      </c>
      <c r="H33" s="43">
        <f>-15000/H53</f>
        <v>-0.32168904634723344</v>
      </c>
      <c r="I33" s="43">
        <f>-15000/I53</f>
        <v>-0.31527857822621858</v>
      </c>
      <c r="J33" s="48">
        <f t="shared" ref="J33:K33" si="22">I33</f>
        <v>-0.31527857822621858</v>
      </c>
      <c r="K33" s="48">
        <f t="shared" si="22"/>
        <v>-0.31527857822621858</v>
      </c>
    </row>
    <row r="34" spans="1:11" x14ac:dyDescent="0.2">
      <c r="B34" s="50" t="s">
        <v>403</v>
      </c>
      <c r="C34" s="49">
        <f>C118/C53</f>
        <v>0.33833697968326587</v>
      </c>
      <c r="D34" s="49">
        <f t="shared" ref="D34:F34" si="23">D118/D53</f>
        <v>0.32583087283634815</v>
      </c>
      <c r="E34" s="49">
        <f t="shared" si="23"/>
        <v>0.30821290500736381</v>
      </c>
      <c r="F34" s="49">
        <f t="shared" si="23"/>
        <v>0.29415704748933891</v>
      </c>
      <c r="G34" s="49">
        <f t="shared" ref="G34:G36" si="24">AVERAGE(C34:F34)</f>
        <v>0.31663445125407919</v>
      </c>
      <c r="H34" s="48">
        <f t="shared" ref="H34:K36" si="25">G34</f>
        <v>0.31663445125407919</v>
      </c>
      <c r="I34" s="48">
        <f t="shared" si="25"/>
        <v>0.31663445125407919</v>
      </c>
      <c r="J34" s="48">
        <f t="shared" si="25"/>
        <v>0.31663445125407919</v>
      </c>
      <c r="K34" s="48">
        <f t="shared" si="25"/>
        <v>0.31663445125407919</v>
      </c>
    </row>
    <row r="35" spans="1:11" x14ac:dyDescent="0.2">
      <c r="B35" s="50" t="s">
        <v>404</v>
      </c>
      <c r="C35" s="49">
        <f>C119/C53</f>
        <v>0.20860839150882954</v>
      </c>
      <c r="D35" s="49">
        <f t="shared" ref="D35:F35" si="26">D119/D53</f>
        <v>0.20581264519281134</v>
      </c>
      <c r="E35" s="49">
        <f t="shared" si="26"/>
        <v>0.19742958394698085</v>
      </c>
      <c r="F35" s="49">
        <f t="shared" si="26"/>
        <v>0.19944629261649066</v>
      </c>
      <c r="G35" s="49">
        <f t="shared" si="24"/>
        <v>0.20282422831627811</v>
      </c>
      <c r="H35" s="48">
        <f t="shared" si="25"/>
        <v>0.20282422831627811</v>
      </c>
      <c r="I35" s="48">
        <f t="shared" si="25"/>
        <v>0.20282422831627811</v>
      </c>
      <c r="J35" s="48">
        <f t="shared" si="25"/>
        <v>0.20282422831627811</v>
      </c>
      <c r="K35" s="48">
        <f t="shared" si="25"/>
        <v>0.20282422831627811</v>
      </c>
    </row>
    <row r="36" spans="1:11" x14ac:dyDescent="0.2">
      <c r="B36" s="50" t="s">
        <v>405</v>
      </c>
      <c r="C36" s="49">
        <f>C120/C53</f>
        <v>0.54918775775581008</v>
      </c>
      <c r="D36" s="49">
        <f t="shared" ref="D36:F36" si="27">D120/D53</f>
        <v>0.58698414711775393</v>
      </c>
      <c r="E36" s="49">
        <f t="shared" si="27"/>
        <v>0.53997376656848306</v>
      </c>
      <c r="F36" s="49">
        <f t="shared" si="27"/>
        <v>-0.83964812788854404</v>
      </c>
      <c r="G36" s="49">
        <f t="shared" si="24"/>
        <v>0.20912438588837581</v>
      </c>
      <c r="H36" s="48">
        <f t="shared" si="25"/>
        <v>0.20912438588837581</v>
      </c>
      <c r="I36" s="48">
        <f t="shared" si="25"/>
        <v>0.20912438588837581</v>
      </c>
      <c r="J36" s="48">
        <f t="shared" si="25"/>
        <v>0.20912438588837581</v>
      </c>
      <c r="K36" s="48">
        <f t="shared" si="25"/>
        <v>0.20912438588837581</v>
      </c>
    </row>
    <row r="37" spans="1:11" x14ac:dyDescent="0.2">
      <c r="B37" s="50"/>
      <c r="C37" s="51"/>
      <c r="D37" s="51"/>
      <c r="E37" s="51"/>
      <c r="F37" s="51"/>
      <c r="G37" s="49"/>
      <c r="H37" s="48"/>
      <c r="I37" s="48"/>
      <c r="J37" s="48"/>
      <c r="K37" s="48"/>
    </row>
    <row r="38" spans="1:11" x14ac:dyDescent="0.2">
      <c r="B38" s="50" t="s">
        <v>406</v>
      </c>
      <c r="C38" s="51" t="str">
        <f>C127</f>
        <v xml:space="preserve"> </v>
      </c>
      <c r="D38" s="51">
        <f t="shared" ref="D38:F38" si="28">D127</f>
        <v>-292.90000000000003</v>
      </c>
      <c r="E38" s="51">
        <f t="shared" si="28"/>
        <v>-5911.7999999999993</v>
      </c>
      <c r="F38" s="51">
        <f t="shared" si="28"/>
        <v>4875</v>
      </c>
      <c r="G38" s="47">
        <f>F38</f>
        <v>4875</v>
      </c>
      <c r="H38" s="47">
        <f t="shared" ref="H38:K38" si="29">G38</f>
        <v>4875</v>
      </c>
      <c r="I38" s="47">
        <f t="shared" si="29"/>
        <v>4875</v>
      </c>
      <c r="J38" s="47">
        <f t="shared" si="29"/>
        <v>4875</v>
      </c>
      <c r="K38" s="47">
        <f t="shared" si="29"/>
        <v>4875</v>
      </c>
    </row>
    <row r="39" spans="1:11" x14ac:dyDescent="0.2">
      <c r="B39" s="50"/>
      <c r="C39" s="51"/>
      <c r="D39" s="51"/>
      <c r="E39" s="51"/>
      <c r="F39" s="51"/>
      <c r="G39" s="49"/>
      <c r="H39" s="48"/>
      <c r="I39" s="48"/>
      <c r="J39" s="48"/>
      <c r="K39" s="48"/>
    </row>
    <row r="40" spans="1:11" x14ac:dyDescent="0.2">
      <c r="B40" s="50" t="s">
        <v>407</v>
      </c>
      <c r="C40" s="51"/>
      <c r="D40" s="51"/>
      <c r="E40" s="51"/>
      <c r="F40" s="51"/>
      <c r="G40" s="55">
        <f>MAX(0,G42-(F84+G123+G128+G131-G68))</f>
        <v>8272.4131534289663</v>
      </c>
      <c r="H40" s="56">
        <f>MAX(0,H42-(G84+H123+H128+H131-H68))</f>
        <v>15537.980233037331</v>
      </c>
      <c r="I40" s="56">
        <f>MAX(0,I42-(H84+I123+I128+I131-I68))</f>
        <v>13675.076985125546</v>
      </c>
      <c r="J40" s="56">
        <f>MAX(0,J42-(I84+J123+J128+J131-J68))</f>
        <v>14592.967947663936</v>
      </c>
      <c r="K40" s="56">
        <f>MAX(0,K42-(J84+K123+K128+K131-K68))</f>
        <v>15931.136425701903</v>
      </c>
    </row>
    <row r="41" spans="1:11" x14ac:dyDescent="0.2">
      <c r="B41" s="50" t="s">
        <v>408</v>
      </c>
      <c r="C41" s="49">
        <f>C132/C75</f>
        <v>0</v>
      </c>
      <c r="D41" s="49">
        <f t="shared" ref="D41:F41" si="30">D132/D75</f>
        <v>-3.2002252958608288E-6</v>
      </c>
      <c r="E41" s="49">
        <f t="shared" si="30"/>
        <v>-3.6495950774261601E-6</v>
      </c>
      <c r="F41" s="49">
        <f t="shared" si="30"/>
        <v>0</v>
      </c>
      <c r="G41" s="49"/>
      <c r="H41" s="48"/>
      <c r="I41" s="48"/>
      <c r="J41" s="48"/>
      <c r="K41" s="48"/>
    </row>
    <row r="42" spans="1:11" x14ac:dyDescent="0.2">
      <c r="B42" s="50" t="s">
        <v>409</v>
      </c>
      <c r="C42" s="51"/>
      <c r="D42" s="51"/>
      <c r="E42" s="51"/>
      <c r="F42" s="51"/>
      <c r="G42" s="55">
        <v>2000</v>
      </c>
      <c r="H42" s="56">
        <v>2000</v>
      </c>
      <c r="I42" s="56">
        <v>2000</v>
      </c>
      <c r="J42" s="56">
        <v>2000</v>
      </c>
      <c r="K42" s="56">
        <v>2000</v>
      </c>
    </row>
    <row r="43" spans="1:11" x14ac:dyDescent="0.2">
      <c r="C43" s="51"/>
      <c r="D43" s="51"/>
      <c r="E43" s="51"/>
      <c r="F43" s="51"/>
      <c r="G43" s="49"/>
      <c r="H43" s="48"/>
      <c r="I43" s="48"/>
      <c r="J43" s="48"/>
      <c r="K43" s="48"/>
    </row>
    <row r="44" spans="1:11" x14ac:dyDescent="0.2">
      <c r="C44" s="46"/>
      <c r="D44" s="46"/>
      <c r="E44" s="46"/>
      <c r="F44" s="46"/>
      <c r="G44" s="49"/>
      <c r="H44" s="48"/>
      <c r="I44" s="48"/>
      <c r="J44" s="48"/>
      <c r="K44" s="48"/>
    </row>
    <row r="45" spans="1:11" x14ac:dyDescent="0.2">
      <c r="C45" s="46"/>
      <c r="D45" s="46"/>
      <c r="E45" s="46"/>
      <c r="F45" s="46"/>
      <c r="G45" s="49"/>
      <c r="H45" s="48"/>
      <c r="I45" s="48"/>
      <c r="J45" s="48"/>
      <c r="K45" s="48"/>
    </row>
    <row r="47" spans="1:11" x14ac:dyDescent="0.2">
      <c r="A47" s="38" t="s">
        <v>387</v>
      </c>
      <c r="G47" s="38" t="s">
        <v>387</v>
      </c>
    </row>
    <row r="48" spans="1:11" x14ac:dyDescent="0.2">
      <c r="B48" s="57"/>
      <c r="G48" s="58" t="s">
        <v>410</v>
      </c>
      <c r="H48" s="59"/>
      <c r="I48" s="59"/>
      <c r="J48" s="59"/>
      <c r="K48" s="59"/>
    </row>
    <row r="49" spans="2:14" x14ac:dyDescent="0.2">
      <c r="B49" s="60" t="s">
        <v>411</v>
      </c>
      <c r="C49" s="61">
        <v>45291</v>
      </c>
      <c r="D49" s="61">
        <f>EOMONTH(C49,12)</f>
        <v>45657</v>
      </c>
      <c r="E49" s="61">
        <f>EOMONTH(D49,12)</f>
        <v>46022</v>
      </c>
      <c r="F49" s="61">
        <f>EOMONTH(E49,12)</f>
        <v>46387</v>
      </c>
      <c r="G49" s="62">
        <f t="shared" ref="G49:K49" si="31">EOMONTH(F49,12)</f>
        <v>46752</v>
      </c>
      <c r="H49" s="62">
        <f t="shared" si="31"/>
        <v>47118</v>
      </c>
      <c r="I49" s="62">
        <f t="shared" si="31"/>
        <v>47483</v>
      </c>
      <c r="J49" s="62">
        <f t="shared" si="31"/>
        <v>47848</v>
      </c>
      <c r="K49" s="62">
        <f t="shared" si="31"/>
        <v>48213</v>
      </c>
    </row>
    <row r="50" spans="2:14" x14ac:dyDescent="0.2">
      <c r="G50" s="63"/>
      <c r="H50" s="63"/>
      <c r="I50" s="63"/>
      <c r="J50" s="63"/>
      <c r="K50" s="63"/>
    </row>
    <row r="51" spans="2:14" x14ac:dyDescent="0.2">
      <c r="B51" s="50" t="s">
        <v>412</v>
      </c>
      <c r="C51" s="45">
        <v>8.6999999999999993</v>
      </c>
      <c r="D51" s="45">
        <v>17.8</v>
      </c>
      <c r="E51" s="45">
        <v>2</v>
      </c>
      <c r="F51" s="45">
        <v>7</v>
      </c>
      <c r="G51" s="64"/>
      <c r="H51" s="64"/>
      <c r="I51" s="64"/>
      <c r="J51" s="64"/>
      <c r="K51" s="64"/>
    </row>
    <row r="52" spans="2:14" x14ac:dyDescent="0.2">
      <c r="B52" s="50" t="s">
        <v>413</v>
      </c>
      <c r="C52" s="65">
        <v>42133.9</v>
      </c>
      <c r="D52" s="65">
        <v>42554.9</v>
      </c>
      <c r="E52" s="65">
        <v>43454</v>
      </c>
      <c r="F52" s="65">
        <v>44782</v>
      </c>
      <c r="G52" s="63"/>
      <c r="H52" s="63"/>
      <c r="I52" s="63"/>
      <c r="J52" s="63"/>
      <c r="K52" s="63"/>
    </row>
    <row r="53" spans="2:14" s="51" customFormat="1" x14ac:dyDescent="0.2">
      <c r="B53" s="66" t="s">
        <v>414</v>
      </c>
      <c r="C53" s="66">
        <f>SUM(C51:C52)</f>
        <v>42142.6</v>
      </c>
      <c r="D53" s="66">
        <f t="shared" ref="D53:F53" si="32">SUM(D51:D52)</f>
        <v>42572.700000000004</v>
      </c>
      <c r="E53" s="66">
        <f t="shared" si="32"/>
        <v>43456</v>
      </c>
      <c r="F53" s="66">
        <f t="shared" si="32"/>
        <v>44789</v>
      </c>
      <c r="G53" s="67">
        <f>F53*(1+G4)</f>
        <v>45699.681779547114</v>
      </c>
      <c r="H53" s="67">
        <f>G53*(1+H4)</f>
        <v>46628.880188257615</v>
      </c>
      <c r="I53" s="67">
        <f>H53*(1+I4)</f>
        <v>47576.971719395427</v>
      </c>
      <c r="J53" s="67">
        <f>I53*(1+J4)</f>
        <v>48544.340521353086</v>
      </c>
      <c r="K53" s="67">
        <f>J53*(1+K4)</f>
        <v>49531.378553301263</v>
      </c>
      <c r="N53" s="68"/>
    </row>
    <row r="54" spans="2:14" x14ac:dyDescent="0.2">
      <c r="C54" s="45"/>
      <c r="D54" s="45"/>
      <c r="E54" s="45"/>
      <c r="F54" s="45"/>
      <c r="G54" s="63"/>
      <c r="H54" s="63"/>
      <c r="I54" s="63"/>
      <c r="J54" s="63"/>
      <c r="K54" s="63"/>
    </row>
    <row r="55" spans="2:14" x14ac:dyDescent="0.2">
      <c r="B55" s="50" t="s">
        <v>415</v>
      </c>
      <c r="C55" s="45">
        <v>7.8</v>
      </c>
      <c r="D55" s="45">
        <v>15.6</v>
      </c>
      <c r="E55" s="45">
        <v>1.7</v>
      </c>
      <c r="F55" s="45">
        <v>6</v>
      </c>
      <c r="G55" s="69">
        <f t="shared" ref="G55:K57" si="33">G$53*G6</f>
        <v>8.2784902429570213</v>
      </c>
      <c r="H55" s="69">
        <f t="shared" si="33"/>
        <v>8.4468143901007284</v>
      </c>
      <c r="I55" s="69">
        <f t="shared" si="33"/>
        <v>8.6185610234321501</v>
      </c>
      <c r="J55" s="69">
        <f t="shared" si="33"/>
        <v>8.7937997313728182</v>
      </c>
      <c r="K55" s="69">
        <f t="shared" si="33"/>
        <v>8.9726015172655043</v>
      </c>
    </row>
    <row r="56" spans="2:14" x14ac:dyDescent="0.2">
      <c r="B56" s="50" t="s">
        <v>416</v>
      </c>
      <c r="C56" s="45">
        <v>3678</v>
      </c>
      <c r="D56" s="45">
        <v>4280.6000000000004</v>
      </c>
      <c r="E56" s="45">
        <v>4092.3</v>
      </c>
      <c r="F56" s="45">
        <v>4175</v>
      </c>
      <c r="G56" s="69">
        <f t="shared" si="33"/>
        <v>4286.7338896228821</v>
      </c>
      <c r="H56" s="69">
        <f t="shared" si="33"/>
        <v>4373.8948096489303</v>
      </c>
      <c r="I56" s="69">
        <f t="shared" si="33"/>
        <v>4462.8279474462233</v>
      </c>
      <c r="J56" s="69">
        <f t="shared" si="33"/>
        <v>4553.5693370060017</v>
      </c>
      <c r="K56" s="69">
        <f t="shared" si="33"/>
        <v>4646.1557449882248</v>
      </c>
    </row>
    <row r="57" spans="2:14" x14ac:dyDescent="0.2">
      <c r="B57" s="50" t="s">
        <v>417</v>
      </c>
      <c r="C57" s="45">
        <v>18920.7</v>
      </c>
      <c r="D57" s="45">
        <v>18165.400000000001</v>
      </c>
      <c r="E57" s="45">
        <v>18232.699999999997</v>
      </c>
      <c r="F57" s="45">
        <v>18313</v>
      </c>
      <c r="G57" s="69">
        <f t="shared" si="33"/>
        <v>19469.200282044614</v>
      </c>
      <c r="H57" s="69">
        <f t="shared" si="33"/>
        <v>19865.06189894188</v>
      </c>
      <c r="I57" s="69">
        <f t="shared" si="33"/>
        <v>20268.972455572792</v>
      </c>
      <c r="J57" s="69">
        <f t="shared" si="33"/>
        <v>20681.095608700398</v>
      </c>
      <c r="K57" s="69">
        <f t="shared" si="33"/>
        <v>21101.598342673366</v>
      </c>
    </row>
    <row r="58" spans="2:14" s="51" customFormat="1" x14ac:dyDescent="0.2">
      <c r="B58" s="66" t="s">
        <v>418</v>
      </c>
      <c r="C58" s="66">
        <f>C53-SUM(C55:C57)</f>
        <v>19536.099999999999</v>
      </c>
      <c r="D58" s="66">
        <f t="shared" ref="D58:F58" si="34">D53-SUM(D55:D57)</f>
        <v>20111.100000000002</v>
      </c>
      <c r="E58" s="66">
        <f t="shared" si="34"/>
        <v>21129.300000000003</v>
      </c>
      <c r="F58" s="66">
        <f t="shared" si="34"/>
        <v>22295</v>
      </c>
      <c r="G58" s="67">
        <f>SUM(G55:G57)</f>
        <v>23764.212661910453</v>
      </c>
      <c r="H58" s="67">
        <f t="shared" ref="H58:K58" si="35">SUM(H55:H57)</f>
        <v>24247.403522980909</v>
      </c>
      <c r="I58" s="67">
        <f t="shared" si="35"/>
        <v>24740.418964042448</v>
      </c>
      <c r="J58" s="67">
        <f t="shared" si="35"/>
        <v>25243.458745437772</v>
      </c>
      <c r="K58" s="67">
        <f t="shared" si="35"/>
        <v>25756.726689178857</v>
      </c>
    </row>
    <row r="59" spans="2:14" x14ac:dyDescent="0.2">
      <c r="C59" s="45"/>
      <c r="D59" s="45"/>
      <c r="E59" s="45"/>
      <c r="F59" s="45"/>
      <c r="G59" s="63"/>
      <c r="H59" s="63"/>
      <c r="I59" s="63"/>
      <c r="J59" s="63"/>
      <c r="K59" s="63"/>
    </row>
    <row r="60" spans="2:14" x14ac:dyDescent="0.2">
      <c r="B60" s="70" t="s">
        <v>419</v>
      </c>
      <c r="C60" s="45">
        <f t="shared" ref="C60:E60" si="36">C61+C62</f>
        <v>-563.39999999999986</v>
      </c>
      <c r="D60" s="45">
        <f t="shared" si="36"/>
        <v>0.5</v>
      </c>
      <c r="E60" s="45">
        <f t="shared" si="36"/>
        <v>250.89999999999998</v>
      </c>
      <c r="F60" s="45">
        <f>F61+F62</f>
        <v>58193</v>
      </c>
      <c r="G60" s="64">
        <f>SUM(G61:G62)</f>
        <v>-442.27499999999998</v>
      </c>
      <c r="H60" s="64">
        <f t="shared" ref="H60:K60" si="37">SUM(H61:H62)</f>
        <v>-442.27499999999998</v>
      </c>
      <c r="I60" s="64">
        <f t="shared" si="37"/>
        <v>-442.27499999999998</v>
      </c>
      <c r="J60" s="64">
        <f t="shared" si="37"/>
        <v>-442.27499999999998</v>
      </c>
      <c r="K60" s="64">
        <f t="shared" si="37"/>
        <v>-442.27499999999998</v>
      </c>
    </row>
    <row r="61" spans="2:14" x14ac:dyDescent="0.2">
      <c r="B61" s="71" t="s">
        <v>420</v>
      </c>
      <c r="C61" s="45">
        <v>324.00000000000006</v>
      </c>
      <c r="D61" s="45">
        <v>942.2</v>
      </c>
      <c r="E61" s="45">
        <v>1138</v>
      </c>
      <c r="F61" s="45">
        <v>59232</v>
      </c>
      <c r="G61" s="72">
        <f>G18</f>
        <v>496.52499999999998</v>
      </c>
      <c r="H61" s="73">
        <f>G61</f>
        <v>496.52499999999998</v>
      </c>
      <c r="I61" s="73">
        <f t="shared" ref="I61:K62" si="38">H61</f>
        <v>496.52499999999998</v>
      </c>
      <c r="J61" s="73">
        <f t="shared" si="38"/>
        <v>496.52499999999998</v>
      </c>
      <c r="K61" s="73">
        <f t="shared" si="38"/>
        <v>496.52499999999998</v>
      </c>
    </row>
    <row r="62" spans="2:14" x14ac:dyDescent="0.2">
      <c r="B62" s="71" t="s">
        <v>421</v>
      </c>
      <c r="C62" s="45">
        <v>-887.4</v>
      </c>
      <c r="D62" s="45">
        <v>-941.7</v>
      </c>
      <c r="E62" s="45">
        <v>-887.1</v>
      </c>
      <c r="F62" s="45">
        <v>-1039</v>
      </c>
      <c r="G62" s="74">
        <f>AVERAGE(C62:F62)</f>
        <v>-938.8</v>
      </c>
      <c r="H62" s="75">
        <f>G62</f>
        <v>-938.8</v>
      </c>
      <c r="I62" s="75">
        <f t="shared" si="38"/>
        <v>-938.8</v>
      </c>
      <c r="J62" s="75">
        <f t="shared" si="38"/>
        <v>-938.8</v>
      </c>
      <c r="K62" s="75">
        <f t="shared" si="38"/>
        <v>-938.8</v>
      </c>
    </row>
    <row r="63" spans="2:14" x14ac:dyDescent="0.2">
      <c r="B63" s="70" t="s">
        <v>422</v>
      </c>
      <c r="C63" s="45">
        <v>1866.3</v>
      </c>
      <c r="D63" s="45">
        <v>2122.4</v>
      </c>
      <c r="E63" s="45">
        <v>2230.9</v>
      </c>
      <c r="F63" s="45">
        <v>2337</v>
      </c>
      <c r="G63" s="64">
        <f>F63</f>
        <v>2337</v>
      </c>
      <c r="H63" s="64">
        <f t="shared" ref="H63:K63" si="39">G63</f>
        <v>2337</v>
      </c>
      <c r="I63" s="64">
        <f t="shared" si="39"/>
        <v>2337</v>
      </c>
      <c r="J63" s="64">
        <f t="shared" si="39"/>
        <v>2337</v>
      </c>
      <c r="K63" s="64">
        <f t="shared" si="39"/>
        <v>2337</v>
      </c>
    </row>
    <row r="64" spans="2:14" x14ac:dyDescent="0.2">
      <c r="B64" s="70" t="s">
        <v>423</v>
      </c>
      <c r="C64" s="45">
        <v>14258.4</v>
      </c>
      <c r="D64" s="45">
        <v>13871.5</v>
      </c>
      <c r="E64" s="45">
        <v>13393.7</v>
      </c>
      <c r="F64" s="45">
        <v>13175</v>
      </c>
      <c r="G64" s="64">
        <f>G118</f>
        <v>14470.093662752941</v>
      </c>
      <c r="H64" s="64">
        <f t="shared" ref="H64:K65" si="40">H118</f>
        <v>14764.309891001154</v>
      </c>
      <c r="I64" s="64">
        <f t="shared" si="40"/>
        <v>15064.508332701615</v>
      </c>
      <c r="J64" s="64">
        <f t="shared" si="40"/>
        <v>15370.810622469795</v>
      </c>
      <c r="K64" s="64">
        <f t="shared" si="40"/>
        <v>15683.340868082612</v>
      </c>
    </row>
    <row r="65" spans="2:11" x14ac:dyDescent="0.2">
      <c r="B65" s="70" t="s">
        <v>424</v>
      </c>
      <c r="C65" s="45">
        <v>8791.2999999999993</v>
      </c>
      <c r="D65" s="45">
        <v>8762</v>
      </c>
      <c r="E65" s="45">
        <v>8579.5</v>
      </c>
      <c r="F65" s="45">
        <v>8933</v>
      </c>
      <c r="G65" s="64">
        <f>G119</f>
        <v>9269.0026912361191</v>
      </c>
      <c r="H65" s="64">
        <f t="shared" si="40"/>
        <v>9457.4666414355397</v>
      </c>
      <c r="I65" s="64">
        <f t="shared" si="40"/>
        <v>9649.7625746117646</v>
      </c>
      <c r="J65" s="64">
        <f t="shared" si="40"/>
        <v>9845.9684053660694</v>
      </c>
      <c r="K65" s="64">
        <f t="shared" si="40"/>
        <v>10046.163632514776</v>
      </c>
    </row>
    <row r="66" spans="2:11" x14ac:dyDescent="0.2">
      <c r="B66" s="70" t="s">
        <v>425</v>
      </c>
      <c r="C66" s="45">
        <f>C67-C68</f>
        <v>-23354.3</v>
      </c>
      <c r="D66" s="45">
        <f t="shared" ref="D66:F66" si="41">D67-D68</f>
        <v>-25765.5</v>
      </c>
      <c r="E66" s="45">
        <f t="shared" si="41"/>
        <v>-24543.4</v>
      </c>
      <c r="F66" s="45">
        <f t="shared" si="41"/>
        <v>-21495</v>
      </c>
      <c r="G66" s="64">
        <f>G67-G68</f>
        <v>-19352.424116129634</v>
      </c>
      <c r="H66" s="64">
        <f>H67-H68</f>
        <v>-20069.104361823604</v>
      </c>
      <c r="I66" s="64">
        <f>I67-I68</f>
        <v>-21420.830137101715</v>
      </c>
      <c r="J66" s="64">
        <f>J67-J68</f>
        <v>-22858.823265374722</v>
      </c>
      <c r="K66" s="64">
        <f>K67-K68</f>
        <v>-24421.569182807707</v>
      </c>
    </row>
    <row r="67" spans="2:11" x14ac:dyDescent="0.2">
      <c r="B67" s="71" t="s">
        <v>426</v>
      </c>
      <c r="C67" s="45"/>
      <c r="D67" s="45"/>
      <c r="E67" s="45"/>
      <c r="F67" s="45"/>
      <c r="G67" s="76"/>
      <c r="H67" s="76"/>
      <c r="I67" s="76"/>
      <c r="J67" s="76"/>
      <c r="K67" s="76"/>
    </row>
    <row r="68" spans="2:11" x14ac:dyDescent="0.2">
      <c r="B68" s="71" t="s">
        <v>427</v>
      </c>
      <c r="C68" s="45">
        <v>23354.3</v>
      </c>
      <c r="D68" s="77">
        <v>25765.5</v>
      </c>
      <c r="E68" s="77">
        <v>24543.4</v>
      </c>
      <c r="F68" s="77">
        <v>21495</v>
      </c>
      <c r="G68" s="78">
        <f>G$9*(F$99+AVERAGE(F$97,G$97))</f>
        <v>19352.424116129634</v>
      </c>
      <c r="H68" s="78">
        <f>H$9*(G$99+AVERAGE(G$97,H$97))</f>
        <v>20069.104361823604</v>
      </c>
      <c r="I68" s="78">
        <f>I$9*(H$99+AVERAGE(H$97,I$97))</f>
        <v>21420.830137101715</v>
      </c>
      <c r="J68" s="78">
        <f>J$9*(I$99+AVERAGE(I$97,J$97))</f>
        <v>22858.823265374722</v>
      </c>
      <c r="K68" s="78">
        <f>K$9*(J$99+AVERAGE(J$97,K$97))</f>
        <v>24421.569182807707</v>
      </c>
    </row>
    <row r="69" spans="2:11" s="51" customFormat="1" x14ac:dyDescent="0.2">
      <c r="B69" s="66" t="s">
        <v>428</v>
      </c>
      <c r="C69" s="66">
        <f t="shared" ref="C69:D69" si="42">C58+C60-C63+C66-C64-C65</f>
        <v>-29297.600000000002</v>
      </c>
      <c r="D69" s="66">
        <f t="shared" si="42"/>
        <v>-30409.8</v>
      </c>
      <c r="E69" s="66">
        <f>E58+E60-E63+E66-E64-E65</f>
        <v>-27367.3</v>
      </c>
      <c r="F69" s="66">
        <f>F58+F60-F63+F66-F64-F65</f>
        <v>34548</v>
      </c>
      <c r="G69" s="67">
        <f t="shared" ref="G69:K69" si="43">G58+G60-G63+G66-G64-G65</f>
        <v>-22106.582808208244</v>
      </c>
      <c r="H69" s="67">
        <f t="shared" si="43"/>
        <v>-22822.752371279392</v>
      </c>
      <c r="I69" s="67">
        <f t="shared" si="43"/>
        <v>-24173.957080372646</v>
      </c>
      <c r="J69" s="67">
        <f t="shared" si="43"/>
        <v>-25611.418547772817</v>
      </c>
      <c r="K69" s="67">
        <f t="shared" si="43"/>
        <v>-27173.62199422624</v>
      </c>
    </row>
    <row r="70" spans="2:11" x14ac:dyDescent="0.2">
      <c r="C70" s="45"/>
      <c r="D70" s="45"/>
      <c r="E70" s="45"/>
      <c r="F70" s="45"/>
      <c r="G70" s="63"/>
      <c r="H70" s="63"/>
      <c r="I70" s="63"/>
      <c r="J70" s="63"/>
      <c r="K70" s="63"/>
    </row>
    <row r="71" spans="2:11" x14ac:dyDescent="0.2">
      <c r="B71" s="38" t="s">
        <v>429</v>
      </c>
      <c r="C71" s="45">
        <v>3.5</v>
      </c>
      <c r="D71" s="45">
        <v>828.6</v>
      </c>
      <c r="E71" s="45">
        <v>15.8</v>
      </c>
      <c r="F71" s="45">
        <v>-4</v>
      </c>
      <c r="G71" s="69">
        <f>MAX(0,G69*G10)</f>
        <v>0</v>
      </c>
      <c r="H71" s="69">
        <f>MAX(0,H69*H10)</f>
        <v>0</v>
      </c>
      <c r="I71" s="69">
        <f>MAX(0,I69*I10)</f>
        <v>0</v>
      </c>
      <c r="J71" s="69">
        <f>MAX(0,J69*J10)</f>
        <v>0</v>
      </c>
      <c r="K71" s="69">
        <f>MAX(0,K69*K10)</f>
        <v>0</v>
      </c>
    </row>
    <row r="72" spans="2:11" x14ac:dyDescent="0.2">
      <c r="C72" s="45"/>
      <c r="D72" s="45"/>
      <c r="E72" s="45"/>
      <c r="F72" s="45"/>
      <c r="G72" s="63"/>
      <c r="H72" s="63"/>
      <c r="I72" s="63"/>
      <c r="J72" s="63"/>
      <c r="K72" s="63"/>
    </row>
    <row r="73" spans="2:11" s="51" customFormat="1" x14ac:dyDescent="0.2">
      <c r="B73" s="46" t="s">
        <v>430</v>
      </c>
      <c r="C73" s="46">
        <f>SUM(C69-C71)</f>
        <v>-29301.100000000002</v>
      </c>
      <c r="D73" s="46">
        <f t="shared" ref="D73:K73" si="44">SUM(D69-D71)</f>
        <v>-31238.399999999998</v>
      </c>
      <c r="E73" s="46">
        <f t="shared" si="44"/>
        <v>-27383.1</v>
      </c>
      <c r="F73" s="46">
        <f t="shared" si="44"/>
        <v>34552</v>
      </c>
      <c r="G73" s="79">
        <f t="shared" si="44"/>
        <v>-22106.582808208244</v>
      </c>
      <c r="H73" s="79">
        <f t="shared" si="44"/>
        <v>-22822.752371279392</v>
      </c>
      <c r="I73" s="79">
        <f t="shared" si="44"/>
        <v>-24173.957080372646</v>
      </c>
      <c r="J73" s="79">
        <f t="shared" si="44"/>
        <v>-25611.418547772817</v>
      </c>
      <c r="K73" s="79">
        <f t="shared" si="44"/>
        <v>-27173.62199422624</v>
      </c>
    </row>
    <row r="74" spans="2:11" x14ac:dyDescent="0.2">
      <c r="B74" s="38" t="s">
        <v>431</v>
      </c>
      <c r="C74" s="45">
        <v>11.5</v>
      </c>
      <c r="D74" s="45">
        <v>-9.4</v>
      </c>
      <c r="E74" s="45">
        <v>-17.2</v>
      </c>
      <c r="F74" s="45">
        <v>12</v>
      </c>
      <c r="G74" s="69">
        <f>G73*G11</f>
        <v>-4.884793383785814</v>
      </c>
      <c r="H74" s="69">
        <f>H73*H11</f>
        <v>-5.0430421902028684</v>
      </c>
      <c r="I74" s="69">
        <f>I73*I11</f>
        <v>-5.3416118913811177</v>
      </c>
      <c r="J74" s="69">
        <f>J73*J11</f>
        <v>-5.6592413652044629</v>
      </c>
      <c r="K74" s="69">
        <f>K73*K11</f>
        <v>-6.004434519911741</v>
      </c>
    </row>
    <row r="75" spans="2:11" s="51" customFormat="1" x14ac:dyDescent="0.2">
      <c r="B75" s="46" t="s">
        <v>432</v>
      </c>
      <c r="C75" s="46">
        <f>SUM(C73:C74)</f>
        <v>-29289.600000000002</v>
      </c>
      <c r="D75" s="46">
        <f t="shared" ref="D75:K75" si="45">SUM(D73:D74)</f>
        <v>-31247.8</v>
      </c>
      <c r="E75" s="46">
        <f t="shared" si="45"/>
        <v>-27400.3</v>
      </c>
      <c r="F75" s="46">
        <f t="shared" si="45"/>
        <v>34564</v>
      </c>
      <c r="G75" s="79">
        <f t="shared" si="45"/>
        <v>-22111.46760159203</v>
      </c>
      <c r="H75" s="79">
        <f t="shared" si="45"/>
        <v>-22827.795413469594</v>
      </c>
      <c r="I75" s="79">
        <f t="shared" si="45"/>
        <v>-24179.298692264027</v>
      </c>
      <c r="J75" s="79">
        <f t="shared" si="45"/>
        <v>-25617.07778913802</v>
      </c>
      <c r="K75" s="79">
        <f t="shared" si="45"/>
        <v>-27179.626428746153</v>
      </c>
    </row>
    <row r="80" spans="2:11" x14ac:dyDescent="0.2">
      <c r="B80" s="39"/>
    </row>
    <row r="81" spans="2:11" x14ac:dyDescent="0.2">
      <c r="B81" s="60" t="s">
        <v>433</v>
      </c>
      <c r="C81" s="61">
        <f>C49</f>
        <v>45291</v>
      </c>
      <c r="D81" s="61">
        <f>D49</f>
        <v>45657</v>
      </c>
      <c r="E81" s="61">
        <f>E49</f>
        <v>46022</v>
      </c>
      <c r="F81" s="61">
        <f>F49</f>
        <v>46387</v>
      </c>
      <c r="G81" s="61">
        <f t="shared" ref="G81:K81" si="46">G49</f>
        <v>46752</v>
      </c>
      <c r="H81" s="61">
        <f t="shared" si="46"/>
        <v>47118</v>
      </c>
      <c r="I81" s="61">
        <f t="shared" si="46"/>
        <v>47483</v>
      </c>
      <c r="J81" s="61">
        <f t="shared" si="46"/>
        <v>47848</v>
      </c>
      <c r="K81" s="61">
        <f t="shared" si="46"/>
        <v>48213</v>
      </c>
    </row>
    <row r="83" spans="2:11" x14ac:dyDescent="0.2">
      <c r="B83" s="39" t="s">
        <v>434</v>
      </c>
    </row>
    <row r="84" spans="2:11" x14ac:dyDescent="0.2">
      <c r="B84" s="38" t="s">
        <v>435</v>
      </c>
      <c r="C84" s="45">
        <f>'Balance Sheet'!H25</f>
        <v>855.40000000000009</v>
      </c>
      <c r="D84" s="45">
        <f>'Balance Sheet'!I25</f>
        <v>536.20000000000005</v>
      </c>
      <c r="E84" s="45">
        <f>'Balance Sheet'!J25</f>
        <v>10568.5</v>
      </c>
      <c r="F84" s="45">
        <f>'Balance Sheet'!K25</f>
        <v>5731</v>
      </c>
      <c r="G84" s="45">
        <f>G139</f>
        <v>2000</v>
      </c>
      <c r="H84" s="45">
        <f>H139</f>
        <v>2000</v>
      </c>
      <c r="I84" s="45">
        <f>I139</f>
        <v>2000</v>
      </c>
      <c r="J84" s="45">
        <f>J139</f>
        <v>2000</v>
      </c>
      <c r="K84" s="45">
        <f>K139</f>
        <v>2000</v>
      </c>
    </row>
    <row r="85" spans="2:11" x14ac:dyDescent="0.2">
      <c r="B85" s="38" t="s">
        <v>436</v>
      </c>
      <c r="C85" s="45">
        <f>'Balance Sheet'!H24</f>
        <v>2164</v>
      </c>
      <c r="D85" s="45">
        <f>'Balance Sheet'!I24</f>
        <v>2194.8000000000002</v>
      </c>
      <c r="E85" s="45">
        <f>'Balance Sheet'!J24</f>
        <v>2000.3</v>
      </c>
      <c r="F85" s="45">
        <f>'Balance Sheet'!K24</f>
        <v>1969</v>
      </c>
      <c r="G85" s="45">
        <f>G21*G53</f>
        <v>2156.2072544728012</v>
      </c>
      <c r="H85" s="45">
        <f>H21*H53</f>
        <v>2200.0487927874697</v>
      </c>
      <c r="I85" s="45">
        <f>I21*I53</f>
        <v>2244.7817484173379</v>
      </c>
      <c r="J85" s="45">
        <f>J21*J53</f>
        <v>2290.4242462927887</v>
      </c>
      <c r="K85" s="45">
        <f>K21*K53</f>
        <v>2336.9947798731719</v>
      </c>
    </row>
    <row r="86" spans="2:11" x14ac:dyDescent="0.2">
      <c r="B86" s="38" t="s">
        <v>437</v>
      </c>
      <c r="C86" s="45">
        <f>'Balance Sheet'!H$21</f>
        <v>16.3</v>
      </c>
      <c r="D86" s="45">
        <f>'Balance Sheet'!I$21</f>
        <v>1.2</v>
      </c>
      <c r="E86" s="45">
        <f>'Balance Sheet'!J$21</f>
        <v>1.1000000000000001</v>
      </c>
      <c r="F86" s="45">
        <f>'Balance Sheet'!K$21</f>
        <v>21</v>
      </c>
      <c r="G86" s="56">
        <f>G22*SUM(G55:G56)</f>
        <v>7.9754433121783928</v>
      </c>
      <c r="H86" s="56">
        <f>H22*SUM(H55:H56)</f>
        <v>8.1376056937500216</v>
      </c>
      <c r="I86" s="56">
        <f>I22*SUM(I55:I56)</f>
        <v>8.3030652761125889</v>
      </c>
      <c r="J86" s="56">
        <f>J22*SUM(J55:J56)</f>
        <v>8.4718891002958934</v>
      </c>
      <c r="K86" s="56">
        <f>K22*SUM(K55:K56)</f>
        <v>8.6441455704556045</v>
      </c>
    </row>
    <row r="87" spans="2:11" x14ac:dyDescent="0.2">
      <c r="B87" s="38" t="s">
        <v>438</v>
      </c>
      <c r="C87" s="56">
        <f>'Balance Sheet'!H10</f>
        <v>174131.6</v>
      </c>
      <c r="D87" s="56">
        <f>'Balance Sheet'!I10</f>
        <v>158313.9</v>
      </c>
      <c r="E87" s="56">
        <f>'Balance Sheet'!J10</f>
        <v>159531.80000000002</v>
      </c>
      <c r="F87" s="56">
        <f>'Balance Sheet'!K10</f>
        <v>158360</v>
      </c>
      <c r="G87" s="56">
        <f>F87-G126-G118-G119</f>
        <v>149620.90364601093</v>
      </c>
      <c r="H87" s="56">
        <f t="shared" ref="H87:K87" si="47">G87-H126-H118-H119</f>
        <v>140399.12711357424</v>
      </c>
      <c r="I87" s="56">
        <f t="shared" si="47"/>
        <v>130684.85620626087</v>
      </c>
      <c r="J87" s="56">
        <f t="shared" si="47"/>
        <v>120773.0678389266</v>
      </c>
      <c r="K87" s="56">
        <f t="shared" si="47"/>
        <v>110659.74594619866</v>
      </c>
    </row>
    <row r="88" spans="2:11" ht="34" x14ac:dyDescent="0.2">
      <c r="B88" s="80" t="s">
        <v>439</v>
      </c>
      <c r="C88" s="81">
        <f>'Balance Sheet'!H14</f>
        <v>5.8</v>
      </c>
      <c r="D88" s="81">
        <f>'Balance Sheet'!I14</f>
        <v>0.5</v>
      </c>
      <c r="E88" s="81">
        <f>'Balance Sheet'!J14</f>
        <v>0</v>
      </c>
      <c r="F88" s="81">
        <f>'Balance Sheet'!K14</f>
        <v>107</v>
      </c>
      <c r="G88" s="81">
        <f>F88</f>
        <v>107</v>
      </c>
      <c r="H88" s="81">
        <f>G88</f>
        <v>107</v>
      </c>
      <c r="I88" s="81">
        <f>H88</f>
        <v>107</v>
      </c>
      <c r="J88" s="81">
        <f>I88</f>
        <v>107</v>
      </c>
      <c r="K88" s="81">
        <f>J88</f>
        <v>107</v>
      </c>
    </row>
    <row r="89" spans="2:11" x14ac:dyDescent="0.2">
      <c r="B89" s="38" t="s">
        <v>440</v>
      </c>
      <c r="C89" s="45">
        <f>'Balance Sheet'!C31</f>
        <v>49.3</v>
      </c>
      <c r="D89" s="45">
        <f>'Balance Sheet'!D31</f>
        <v>49.3</v>
      </c>
      <c r="E89" s="45">
        <f>'Balance Sheet'!E31</f>
        <v>0</v>
      </c>
      <c r="F89" s="45">
        <f>'Balance Sheet'!F31</f>
        <v>0</v>
      </c>
      <c r="G89" s="38">
        <v>0</v>
      </c>
      <c r="H89" s="38">
        <v>0</v>
      </c>
      <c r="I89" s="38">
        <v>0</v>
      </c>
      <c r="J89" s="38">
        <v>0</v>
      </c>
      <c r="K89" s="38">
        <v>0</v>
      </c>
    </row>
    <row r="90" spans="2:11" x14ac:dyDescent="0.2">
      <c r="B90" s="38" t="s">
        <v>441</v>
      </c>
      <c r="C90" s="45">
        <f>'Balance Sheet'!H$17</f>
        <v>13.5</v>
      </c>
      <c r="D90" s="45">
        <f>'Balance Sheet'!I$17</f>
        <v>19.700000000000003</v>
      </c>
      <c r="E90" s="45">
        <f>'Balance Sheet'!J$17</f>
        <v>11.6</v>
      </c>
      <c r="F90" s="45">
        <f>'Balance Sheet'!K$17</f>
        <v>27</v>
      </c>
      <c r="G90" s="56">
        <f>F90</f>
        <v>27</v>
      </c>
      <c r="H90" s="38">
        <f t="shared" ref="H90:K90" si="48">G90</f>
        <v>27</v>
      </c>
      <c r="I90" s="38">
        <f t="shared" si="48"/>
        <v>27</v>
      </c>
      <c r="J90" s="38">
        <f t="shared" si="48"/>
        <v>27</v>
      </c>
      <c r="K90" s="38">
        <f t="shared" si="48"/>
        <v>27</v>
      </c>
    </row>
    <row r="91" spans="2:11" x14ac:dyDescent="0.2">
      <c r="B91" s="38" t="s">
        <v>442</v>
      </c>
      <c r="C91" s="45">
        <f>'Balance Sheet'!H16</f>
        <v>30006.800000000003</v>
      </c>
      <c r="D91" s="45">
        <f>'Balance Sheet'!I16</f>
        <v>23882.1</v>
      </c>
      <c r="E91" s="45">
        <f>'Balance Sheet'!J16</f>
        <v>25753.3</v>
      </c>
      <c r="F91" s="45">
        <f>'Balance Sheet'!K16</f>
        <v>25423</v>
      </c>
      <c r="G91" s="56">
        <f>G23*G57</f>
        <v>26708.044547159225</v>
      </c>
      <c r="H91" s="56">
        <f>H23*H57</f>
        <v>27251.091490302199</v>
      </c>
      <c r="I91" s="56">
        <f>I23*I57</f>
        <v>27805.180049836672</v>
      </c>
      <c r="J91" s="56">
        <f>J23*J57</f>
        <v>28370.534731754396</v>
      </c>
      <c r="K91" s="56">
        <f>K23*K57</f>
        <v>28947.38460686251</v>
      </c>
    </row>
    <row r="92" spans="2:11" x14ac:dyDescent="0.2">
      <c r="B92" s="82" t="s">
        <v>443</v>
      </c>
      <c r="C92" s="83">
        <f>SUM(C84:C91)</f>
        <v>207242.7</v>
      </c>
      <c r="D92" s="83">
        <f t="shared" ref="D92:K92" si="49">SUM(D84:D91)</f>
        <v>184997.7</v>
      </c>
      <c r="E92" s="83">
        <f t="shared" si="49"/>
        <v>197866.6</v>
      </c>
      <c r="F92" s="83">
        <f t="shared" si="49"/>
        <v>191638</v>
      </c>
      <c r="G92" s="83">
        <f t="shared" si="49"/>
        <v>180627.13089095513</v>
      </c>
      <c r="H92" s="83">
        <f t="shared" si="49"/>
        <v>171992.40500235767</v>
      </c>
      <c r="I92" s="83">
        <f t="shared" si="49"/>
        <v>162877.12106979097</v>
      </c>
      <c r="J92" s="83">
        <f t="shared" si="49"/>
        <v>153576.49870607408</v>
      </c>
      <c r="K92" s="83">
        <f t="shared" si="49"/>
        <v>144086.76947850478</v>
      </c>
    </row>
    <row r="94" spans="2:11" x14ac:dyDescent="0.2">
      <c r="B94" s="39" t="s">
        <v>444</v>
      </c>
    </row>
    <row r="96" spans="2:11" x14ac:dyDescent="0.2">
      <c r="B96" s="38" t="s">
        <v>445</v>
      </c>
      <c r="C96" s="45">
        <f>'Balance Sheet'!H46</f>
        <v>13642.199999999999</v>
      </c>
      <c r="D96" s="45">
        <f>'Balance Sheet'!I46</f>
        <v>13806.6</v>
      </c>
      <c r="E96" s="45">
        <f>'Balance Sheet'!J46</f>
        <v>10748.4</v>
      </c>
      <c r="F96" s="45">
        <f>'Balance Sheet'!K46</f>
        <v>8826</v>
      </c>
      <c r="G96" s="56">
        <f>G25*SUM(G55:G56)</f>
        <v>11381.866511860755</v>
      </c>
      <c r="H96" s="56">
        <f>H25*SUM(H55:H56)</f>
        <v>11613.29071087366</v>
      </c>
      <c r="I96" s="56">
        <f>I25*SUM(I55:I56)</f>
        <v>11849.420391174101</v>
      </c>
      <c r="J96" s="56">
        <f>J25*SUM(J55:J56)</f>
        <v>12090.351227951798</v>
      </c>
      <c r="K96" s="56">
        <f>K25*SUM(K55:K56)</f>
        <v>12336.18084173243</v>
      </c>
    </row>
    <row r="97" spans="2:11" x14ac:dyDescent="0.2">
      <c r="B97" s="38" t="s">
        <v>446</v>
      </c>
      <c r="C97" s="45">
        <f>'Balance Sheet'!H45</f>
        <v>36180</v>
      </c>
      <c r="D97" s="45">
        <f>'Balance Sheet'!I45</f>
        <v>36179.199999999997</v>
      </c>
      <c r="E97" s="45">
        <f>'Balance Sheet'!J45</f>
        <v>36932.5</v>
      </c>
      <c r="F97" s="45">
        <f>'Balance Sheet'!K45</f>
        <v>43073</v>
      </c>
      <c r="G97" s="56">
        <f>G26*G57</f>
        <v>41335.177654513638</v>
      </c>
      <c r="H97" s="56">
        <f>H26*H57</f>
        <v>42175.633863500414</v>
      </c>
      <c r="I97" s="56">
        <f>I26*I57</f>
        <v>43033.178825440627</v>
      </c>
      <c r="J97" s="56">
        <f>J26*J57</f>
        <v>43908.160001004297</v>
      </c>
      <c r="K97" s="56">
        <f>K26*K57</f>
        <v>44800.931915678746</v>
      </c>
    </row>
    <row r="98" spans="2:11" x14ac:dyDescent="0.2">
      <c r="B98" s="38" t="s">
        <v>447</v>
      </c>
      <c r="C98" s="38">
        <f>'Balance Sheet'!H48</f>
        <v>38.299999999999997</v>
      </c>
      <c r="D98" s="38">
        <f>'Balance Sheet'!I48</f>
        <v>57.4</v>
      </c>
      <c r="E98" s="38">
        <f>'Balance Sheet'!J48</f>
        <v>78.400000000000006</v>
      </c>
      <c r="F98" s="38">
        <f>'Balance Sheet'!K48</f>
        <v>71</v>
      </c>
      <c r="G98" s="45">
        <f>F98-G74</f>
        <v>75.884793383785819</v>
      </c>
      <c r="H98" s="45">
        <f>G98-H74</f>
        <v>80.927835573988688</v>
      </c>
      <c r="I98" s="45">
        <f>H98-I74</f>
        <v>86.269447465369808</v>
      </c>
      <c r="J98" s="45">
        <f>I98-J74</f>
        <v>91.928688830574274</v>
      </c>
      <c r="K98" s="45">
        <f>J98-K74</f>
        <v>97.933123350486014</v>
      </c>
    </row>
    <row r="99" spans="2:11" x14ac:dyDescent="0.2">
      <c r="B99" s="38" t="s">
        <v>448</v>
      </c>
      <c r="C99" s="45">
        <f>'Balance Sheet'!H43</f>
        <v>201586</v>
      </c>
      <c r="D99" s="45">
        <f>'Balance Sheet'!I43</f>
        <v>207629.80000000002</v>
      </c>
      <c r="E99" s="45">
        <f>'Balance Sheet'!J43</f>
        <v>196296.2</v>
      </c>
      <c r="F99" s="45">
        <f>'Balance Sheet'!K43</f>
        <v>149455</v>
      </c>
      <c r="G99" s="45">
        <f>F99+G131+G40</f>
        <v>157001.41315342896</v>
      </c>
      <c r="H99" s="45">
        <f>G99+H131+H40</f>
        <v>169539.39338646628</v>
      </c>
      <c r="I99" s="45">
        <f>H99+I131+I40</f>
        <v>182914.47037159183</v>
      </c>
      <c r="J99" s="45">
        <f>I99+J131+J40</f>
        <v>197507.43831925577</v>
      </c>
      <c r="K99" s="45">
        <f>J99+K131+K40</f>
        <v>213438.57474495767</v>
      </c>
    </row>
    <row r="100" spans="2:11" x14ac:dyDescent="0.2">
      <c r="B100" s="38" t="s">
        <v>449</v>
      </c>
      <c r="C100" s="45">
        <f>'Balance Sheet'!H47</f>
        <v>0</v>
      </c>
      <c r="D100" s="45">
        <f>'Balance Sheet'!I47</f>
        <v>528.5</v>
      </c>
      <c r="E100" s="45">
        <f>'Balance Sheet'!J47</f>
        <v>275.59999999999997</v>
      </c>
      <c r="F100" s="45">
        <f>'Balance Sheet'!K47</f>
        <v>267</v>
      </c>
      <c r="G100" s="56">
        <f>F100</f>
        <v>267</v>
      </c>
      <c r="H100" s="38">
        <f t="shared" ref="H100:K100" si="50">G100</f>
        <v>267</v>
      </c>
      <c r="I100" s="38">
        <f t="shared" si="50"/>
        <v>267</v>
      </c>
      <c r="J100" s="38">
        <f t="shared" si="50"/>
        <v>267</v>
      </c>
      <c r="K100" s="38">
        <f t="shared" si="50"/>
        <v>267</v>
      </c>
    </row>
    <row r="101" spans="2:11" x14ac:dyDescent="0.2">
      <c r="B101" s="38" t="s">
        <v>450</v>
      </c>
      <c r="C101" s="45">
        <f>'Balance Sheet'!H49</f>
        <v>30155.300000000003</v>
      </c>
      <c r="D101" s="45">
        <f>'Balance Sheet'!I49</f>
        <v>30963</v>
      </c>
      <c r="E101" s="45">
        <f>'Balance Sheet'!J49</f>
        <v>23855.7</v>
      </c>
      <c r="F101" s="45">
        <f>'Balance Sheet'!K49</f>
        <v>25704</v>
      </c>
      <c r="G101" s="56">
        <f>G27*SUM(G55:G57)</f>
        <v>28435.256379360013</v>
      </c>
      <c r="H101" s="56">
        <f>H27*SUM(H55:H57)</f>
        <v>29013.422221004923</v>
      </c>
      <c r="I101" s="56">
        <f>I27*SUM(I55:I57)</f>
        <v>29603.343741444689</v>
      </c>
      <c r="J101" s="56">
        <f>J27*SUM(J55:J57)</f>
        <v>30205.259965495316</v>
      </c>
      <c r="K101" s="56">
        <f>K27*SUM(K55:K57)</f>
        <v>30819.414777995273</v>
      </c>
    </row>
    <row r="102" spans="2:11" x14ac:dyDescent="0.2">
      <c r="B102" s="82" t="s">
        <v>451</v>
      </c>
      <c r="C102" s="83">
        <f>SUM(C96:C101)</f>
        <v>281601.8</v>
      </c>
      <c r="D102" s="83">
        <f t="shared" ref="D102:K102" si="51">SUM(D96:D101)</f>
        <v>289164.5</v>
      </c>
      <c r="E102" s="83">
        <f t="shared" si="51"/>
        <v>268186.8</v>
      </c>
      <c r="F102" s="83">
        <f t="shared" si="51"/>
        <v>227396</v>
      </c>
      <c r="G102" s="83">
        <f t="shared" si="51"/>
        <v>238496.59849254714</v>
      </c>
      <c r="H102" s="83">
        <f t="shared" si="51"/>
        <v>252689.66801741929</v>
      </c>
      <c r="I102" s="83">
        <f t="shared" si="51"/>
        <v>267753.6827771166</v>
      </c>
      <c r="J102" s="83">
        <f t="shared" si="51"/>
        <v>284070.13820253772</v>
      </c>
      <c r="K102" s="83">
        <f t="shared" si="51"/>
        <v>301760.03540371457</v>
      </c>
    </row>
    <row r="104" spans="2:11" x14ac:dyDescent="0.2">
      <c r="B104" s="39" t="s">
        <v>66</v>
      </c>
    </row>
    <row r="105" spans="2:11" x14ac:dyDescent="0.2">
      <c r="B105" s="38" t="s">
        <v>67</v>
      </c>
      <c r="C105" s="45">
        <f>'Balance Sheet'!C36</f>
        <v>48679.7</v>
      </c>
      <c r="D105" s="45">
        <f>'Balance Sheet'!D36</f>
        <v>50119.8</v>
      </c>
      <c r="E105" s="45">
        <f>'Balance Sheet'!E36</f>
        <v>71393</v>
      </c>
      <c r="F105" s="45">
        <f>'Balance Sheet'!F36</f>
        <v>108343</v>
      </c>
      <c r="G105" s="45">
        <f>F105</f>
        <v>108343</v>
      </c>
      <c r="H105" s="45">
        <f>G105</f>
        <v>108343</v>
      </c>
      <c r="I105" s="45">
        <f>H105</f>
        <v>108343</v>
      </c>
      <c r="J105" s="45">
        <f>I105</f>
        <v>108343</v>
      </c>
      <c r="K105" s="45">
        <f>J105</f>
        <v>108343</v>
      </c>
    </row>
    <row r="106" spans="2:11" x14ac:dyDescent="0.2">
      <c r="B106" s="38" t="s">
        <v>68</v>
      </c>
      <c r="C106" s="45">
        <f>'Balance Sheet'!C37</f>
        <v>-123038.8</v>
      </c>
      <c r="D106" s="45">
        <f>'Balance Sheet'!D37</f>
        <v>-154286.6</v>
      </c>
      <c r="E106" s="45">
        <f>'Balance Sheet'!E37</f>
        <v>-141713.20000000001</v>
      </c>
      <c r="F106" s="45">
        <f>'Balance Sheet'!F37</f>
        <v>-144101</v>
      </c>
      <c r="G106" s="45">
        <f>F106+G75-G132-G133</f>
        <v>-166212.46760159204</v>
      </c>
      <c r="H106" s="45">
        <f>G106+H75-H132-H133</f>
        <v>-189040.26301506165</v>
      </c>
      <c r="I106" s="45">
        <f>H106+I75-I132-I133</f>
        <v>-213219.56170732569</v>
      </c>
      <c r="J106" s="45">
        <f>I106+J75-J132-J133</f>
        <v>-238836.6394964637</v>
      </c>
      <c r="K106" s="45">
        <f>J106+K75-K132-K133</f>
        <v>-266016.26592520985</v>
      </c>
    </row>
    <row r="107" spans="2:11" x14ac:dyDescent="0.2">
      <c r="B107" s="82" t="s">
        <v>452</v>
      </c>
      <c r="C107" s="83">
        <f>SUM(C105:C106)</f>
        <v>-74359.100000000006</v>
      </c>
      <c r="D107" s="83">
        <f t="shared" ref="D107:K107" si="52">SUM(D105:D106)</f>
        <v>-104166.8</v>
      </c>
      <c r="E107" s="83">
        <f t="shared" si="52"/>
        <v>-70320.200000000012</v>
      </c>
      <c r="F107" s="83">
        <f t="shared" si="52"/>
        <v>-35758</v>
      </c>
      <c r="G107" s="83">
        <f t="shared" si="52"/>
        <v>-57869.467601592041</v>
      </c>
      <c r="H107" s="83">
        <f t="shared" si="52"/>
        <v>-80697.263015061646</v>
      </c>
      <c r="I107" s="83">
        <f t="shared" si="52"/>
        <v>-104876.56170732569</v>
      </c>
      <c r="J107" s="83">
        <f t="shared" si="52"/>
        <v>-130493.6394964637</v>
      </c>
      <c r="K107" s="83">
        <f t="shared" si="52"/>
        <v>-157673.26592520985</v>
      </c>
    </row>
    <row r="109" spans="2:11" s="39" customFormat="1" x14ac:dyDescent="0.2">
      <c r="B109" s="39" t="s">
        <v>453</v>
      </c>
      <c r="C109" s="84">
        <f>C107+C102</f>
        <v>207242.69999999998</v>
      </c>
      <c r="D109" s="84">
        <f t="shared" ref="D109:K109" si="53">D107+D102</f>
        <v>184997.7</v>
      </c>
      <c r="E109" s="84">
        <f t="shared" si="53"/>
        <v>197866.59999999998</v>
      </c>
      <c r="F109" s="84">
        <f t="shared" si="53"/>
        <v>191638</v>
      </c>
      <c r="G109" s="84">
        <f t="shared" si="53"/>
        <v>180627.1308909551</v>
      </c>
      <c r="H109" s="84">
        <f t="shared" si="53"/>
        <v>171992.40500235764</v>
      </c>
      <c r="I109" s="84">
        <f t="shared" si="53"/>
        <v>162877.12106979091</v>
      </c>
      <c r="J109" s="84">
        <f t="shared" si="53"/>
        <v>153576.49870607402</v>
      </c>
      <c r="K109" s="84">
        <f t="shared" si="53"/>
        <v>144086.76947850472</v>
      </c>
    </row>
    <row r="111" spans="2:11" x14ac:dyDescent="0.2">
      <c r="B111" s="38" t="s">
        <v>304</v>
      </c>
      <c r="C111" s="85">
        <f>C109-C92</f>
        <v>0</v>
      </c>
      <c r="D111" s="85">
        <f t="shared" ref="D111:K111" si="54">D109-D92</f>
        <v>0</v>
      </c>
      <c r="E111" s="85">
        <f t="shared" si="54"/>
        <v>0</v>
      </c>
      <c r="F111" s="85">
        <f t="shared" si="54"/>
        <v>0</v>
      </c>
      <c r="G111" s="85">
        <f t="shared" si="54"/>
        <v>0</v>
      </c>
      <c r="H111" s="85">
        <f t="shared" si="54"/>
        <v>0</v>
      </c>
      <c r="I111" s="85">
        <f t="shared" si="54"/>
        <v>0</v>
      </c>
      <c r="J111" s="85">
        <f t="shared" si="54"/>
        <v>0</v>
      </c>
      <c r="K111" s="85">
        <f t="shared" si="54"/>
        <v>0</v>
      </c>
    </row>
    <row r="115" spans="2:11" x14ac:dyDescent="0.2">
      <c r="B115" s="60" t="s">
        <v>454</v>
      </c>
      <c r="C115" s="61">
        <f>C81</f>
        <v>45291</v>
      </c>
      <c r="D115" s="61">
        <f t="shared" ref="D115:K115" si="55">D81</f>
        <v>45657</v>
      </c>
      <c r="E115" s="61">
        <f t="shared" si="55"/>
        <v>46022</v>
      </c>
      <c r="F115" s="61">
        <f t="shared" si="55"/>
        <v>46387</v>
      </c>
      <c r="G115" s="61">
        <f t="shared" si="55"/>
        <v>46752</v>
      </c>
      <c r="H115" s="61">
        <f t="shared" si="55"/>
        <v>47118</v>
      </c>
      <c r="I115" s="61">
        <f t="shared" si="55"/>
        <v>47483</v>
      </c>
      <c r="J115" s="61">
        <f t="shared" si="55"/>
        <v>47848</v>
      </c>
      <c r="K115" s="61">
        <f t="shared" si="55"/>
        <v>48213</v>
      </c>
    </row>
    <row r="116" spans="2:11" x14ac:dyDescent="0.2">
      <c r="B116" s="39" t="s">
        <v>455</v>
      </c>
    </row>
    <row r="117" spans="2:11" x14ac:dyDescent="0.2">
      <c r="B117" s="86" t="s">
        <v>456</v>
      </c>
      <c r="C117" s="45">
        <f>C69</f>
        <v>-29297.600000000002</v>
      </c>
      <c r="D117" s="45">
        <f t="shared" ref="D117:K117" si="56">D69</f>
        <v>-30409.8</v>
      </c>
      <c r="E117" s="45">
        <f t="shared" si="56"/>
        <v>-27367.3</v>
      </c>
      <c r="F117" s="45">
        <f t="shared" si="56"/>
        <v>34548</v>
      </c>
      <c r="G117" s="45">
        <f t="shared" si="56"/>
        <v>-22106.582808208244</v>
      </c>
      <c r="H117" s="45">
        <f t="shared" si="56"/>
        <v>-22822.752371279392</v>
      </c>
      <c r="I117" s="45">
        <f t="shared" si="56"/>
        <v>-24173.957080372646</v>
      </c>
      <c r="J117" s="45">
        <f t="shared" si="56"/>
        <v>-25611.418547772817</v>
      </c>
      <c r="K117" s="45">
        <f t="shared" si="56"/>
        <v>-27173.62199422624</v>
      </c>
    </row>
    <row r="118" spans="2:11" x14ac:dyDescent="0.2">
      <c r="B118" s="87" t="s">
        <v>457</v>
      </c>
      <c r="C118" s="56">
        <f>'Cash Flows'!C12</f>
        <v>14258.4</v>
      </c>
      <c r="D118" s="56">
        <f>'Cash Flows'!D12</f>
        <v>13871.5</v>
      </c>
      <c r="E118" s="56">
        <f>'Cash Flows'!E12</f>
        <v>13393.7</v>
      </c>
      <c r="F118" s="56">
        <f>'Cash Flows'!F12</f>
        <v>13175</v>
      </c>
      <c r="G118" s="56">
        <f>G34*G53</f>
        <v>14470.093662752941</v>
      </c>
      <c r="H118" s="56">
        <f>H34*H53</f>
        <v>14764.309891001154</v>
      </c>
      <c r="I118" s="56">
        <f>I34*I53</f>
        <v>15064.508332701615</v>
      </c>
      <c r="J118" s="56">
        <f>J34*J53</f>
        <v>15370.810622469795</v>
      </c>
      <c r="K118" s="56">
        <f>K34*K53</f>
        <v>15683.340868082612</v>
      </c>
    </row>
    <row r="119" spans="2:11" x14ac:dyDescent="0.2">
      <c r="B119" s="87" t="s">
        <v>458</v>
      </c>
      <c r="C119" s="56">
        <f>'Cash Flows'!C13</f>
        <v>8791.2999999999993</v>
      </c>
      <c r="D119" s="56">
        <f>'Cash Flows'!D13</f>
        <v>8762</v>
      </c>
      <c r="E119" s="56">
        <f>'Cash Flows'!E13</f>
        <v>8579.5</v>
      </c>
      <c r="F119" s="56">
        <f>'Cash Flows'!F13</f>
        <v>8933</v>
      </c>
      <c r="G119" s="56">
        <f>G35*G53</f>
        <v>9269.0026912361191</v>
      </c>
      <c r="H119" s="56">
        <f>H35*H53</f>
        <v>9457.4666414355397</v>
      </c>
      <c r="I119" s="56">
        <f>I35*I53</f>
        <v>9649.7625746117646</v>
      </c>
      <c r="J119" s="56">
        <f>J35*J53</f>
        <v>9845.9684053660694</v>
      </c>
      <c r="K119" s="56">
        <f>K35*K53</f>
        <v>10046.163632514776</v>
      </c>
    </row>
    <row r="120" spans="2:11" x14ac:dyDescent="0.2">
      <c r="B120" s="87" t="s">
        <v>459</v>
      </c>
      <c r="C120" s="56">
        <f>'Cash Flows'!H13</f>
        <v>23144.2</v>
      </c>
      <c r="D120" s="56">
        <f>'Cash Flows'!I13</f>
        <v>24989.500000000004</v>
      </c>
      <c r="E120" s="56">
        <f>'Cash Flows'!J13</f>
        <v>23465.1</v>
      </c>
      <c r="F120" s="56">
        <f>'Cash Flows'!K13</f>
        <v>-37607</v>
      </c>
      <c r="G120" s="56">
        <f>G68</f>
        <v>19352.424116129634</v>
      </c>
      <c r="H120" s="56">
        <f>H68</f>
        <v>20069.104361823604</v>
      </c>
      <c r="I120" s="56">
        <f>I68</f>
        <v>21420.830137101715</v>
      </c>
      <c r="J120" s="56">
        <f>J68</f>
        <v>22858.823265374722</v>
      </c>
      <c r="K120" s="56">
        <f>K68</f>
        <v>24421.569182807707</v>
      </c>
    </row>
    <row r="121" spans="2:11" x14ac:dyDescent="0.2">
      <c r="B121" s="87" t="s">
        <v>460</v>
      </c>
      <c r="C121" s="45">
        <f>'Cash Flows'!H29</f>
        <v>627.49999999999989</v>
      </c>
      <c r="D121" s="45">
        <f>'Cash Flows'!I29</f>
        <v>642.50000000000011</v>
      </c>
      <c r="E121" s="45">
        <f>'Cash Flows'!J29</f>
        <v>-9255.6</v>
      </c>
      <c r="F121" s="45">
        <f>'Cash Flows'!K29</f>
        <v>-47</v>
      </c>
      <c r="G121" s="56">
        <f>F85-G85+F86-G86+F91-G91+SUM(G96,G97,G101)-SUM(F96:F97,F101)</f>
        <v>2090.0733007902163</v>
      </c>
      <c r="H121" s="56">
        <f>G85-H85+G86-H86+G91-H91+SUM(H96,H97,H101)-SUM(G96:G97,G101)</f>
        <v>1062.9956058053649</v>
      </c>
      <c r="I121" s="56">
        <f>H85-I85+H86-I86+H91-I91+SUM(I96,I97,I101)-SUM(H96:H97,H101)</f>
        <v>1084.6091879337182</v>
      </c>
      <c r="J121" s="56">
        <f>I85-J85+I86-J86+I91-J91+SUM(J96,J97,J101)-SUM(I96:I97,I101)</f>
        <v>1106.66223277463</v>
      </c>
      <c r="K121" s="56">
        <f>J85-K85+J86-K86+J91-K91+SUM(K96,K97,K101)-SUM(J96:J97,J101)</f>
        <v>1129.1636757963861</v>
      </c>
    </row>
    <row r="122" spans="2:11" x14ac:dyDescent="0.2">
      <c r="B122" s="87" t="s">
        <v>461</v>
      </c>
      <c r="C122" s="38">
        <f>'Cash Flows'!H35</f>
        <v>1344.9</v>
      </c>
      <c r="D122" s="38">
        <f>'Cash Flows'!I35</f>
        <v>2970.4</v>
      </c>
      <c r="E122" s="38">
        <f>'Cash Flows'!J35</f>
        <v>475.5</v>
      </c>
      <c r="F122" s="38">
        <f>'Cash Flows'!K35</f>
        <v>409</v>
      </c>
    </row>
    <row r="123" spans="2:11" x14ac:dyDescent="0.2">
      <c r="B123" s="82" t="s">
        <v>462</v>
      </c>
      <c r="C123" s="66">
        <f t="shared" ref="C123:K123" si="57">SUM(C117:C122)</f>
        <v>18868.699999999997</v>
      </c>
      <c r="D123" s="66">
        <f t="shared" si="57"/>
        <v>20826.100000000006</v>
      </c>
      <c r="E123" s="66">
        <f t="shared" si="57"/>
        <v>9290.9</v>
      </c>
      <c r="F123" s="66">
        <f t="shared" si="57"/>
        <v>19411</v>
      </c>
      <c r="G123" s="66">
        <f t="shared" si="57"/>
        <v>23075.010962700668</v>
      </c>
      <c r="H123" s="66">
        <f t="shared" si="57"/>
        <v>22531.124128786272</v>
      </c>
      <c r="I123" s="66">
        <f t="shared" si="57"/>
        <v>23045.753151976169</v>
      </c>
      <c r="J123" s="66">
        <f t="shared" si="57"/>
        <v>23570.845978212397</v>
      </c>
      <c r="K123" s="66">
        <f t="shared" si="57"/>
        <v>24106.615364975241</v>
      </c>
    </row>
    <row r="125" spans="2:11" x14ac:dyDescent="0.2">
      <c r="B125" s="39" t="s">
        <v>463</v>
      </c>
    </row>
    <row r="126" spans="2:11" x14ac:dyDescent="0.2">
      <c r="B126" s="50" t="s">
        <v>464</v>
      </c>
      <c r="C126" s="38">
        <f>'Cash Flows'!H39</f>
        <v>-5622.2</v>
      </c>
      <c r="D126" s="38">
        <f>'Cash Flows'!I39</f>
        <v>-1613.9</v>
      </c>
      <c r="E126" s="38">
        <f>'Cash Flows'!J39</f>
        <v>-10336.5</v>
      </c>
      <c r="F126" s="38">
        <f>'Cash Flows'!K39</f>
        <v>-10979</v>
      </c>
      <c r="G126" s="88">
        <f>G33*G53</f>
        <v>-15000</v>
      </c>
      <c r="H126" s="88">
        <f>H33*H53</f>
        <v>-15000</v>
      </c>
      <c r="I126" s="88">
        <f>I33*I53</f>
        <v>-15000</v>
      </c>
      <c r="J126" s="88">
        <f>J33*J53</f>
        <v>-15304.990660501611</v>
      </c>
      <c r="K126" s="88">
        <f>K33*K53</f>
        <v>-15616.182607869438</v>
      </c>
    </row>
    <row r="127" spans="2:11" x14ac:dyDescent="0.2">
      <c r="B127" s="50" t="s">
        <v>465</v>
      </c>
      <c r="C127" s="38" t="s">
        <v>387</v>
      </c>
      <c r="D127" s="38">
        <f>'Cash Flows'!I40</f>
        <v>-292.90000000000003</v>
      </c>
      <c r="E127" s="38">
        <f>'Cash Flows'!J40</f>
        <v>-5911.7999999999993</v>
      </c>
      <c r="F127" s="38">
        <f>'Cash Flows'!K40</f>
        <v>4875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</row>
    <row r="128" spans="2:11" x14ac:dyDescent="0.2">
      <c r="B128" s="82" t="s">
        <v>466</v>
      </c>
      <c r="C128" s="66">
        <f>SUM(C126:C127)</f>
        <v>-5622.2</v>
      </c>
      <c r="D128" s="66">
        <f t="shared" ref="D128:K128" si="58">SUM(D126:D127)</f>
        <v>-1906.8000000000002</v>
      </c>
      <c r="E128" s="66">
        <f t="shared" si="58"/>
        <v>-16248.3</v>
      </c>
      <c r="F128" s="66">
        <f t="shared" si="58"/>
        <v>-6104</v>
      </c>
      <c r="G128" s="66">
        <f t="shared" si="58"/>
        <v>-15000</v>
      </c>
      <c r="H128" s="66">
        <f t="shared" si="58"/>
        <v>-15000</v>
      </c>
      <c r="I128" s="66">
        <f t="shared" si="58"/>
        <v>-15000</v>
      </c>
      <c r="J128" s="66">
        <f t="shared" si="58"/>
        <v>-15304.990660501611</v>
      </c>
      <c r="K128" s="66">
        <f t="shared" si="58"/>
        <v>-15616.182607869438</v>
      </c>
    </row>
    <row r="130" spans="2:12" x14ac:dyDescent="0.2">
      <c r="B130" s="39" t="s">
        <v>467</v>
      </c>
    </row>
    <row r="131" spans="2:12" x14ac:dyDescent="0.2">
      <c r="B131" s="50" t="s">
        <v>468</v>
      </c>
      <c r="C131" s="45">
        <f>'Cash Flows'!H57</f>
        <v>-15111.5</v>
      </c>
      <c r="D131" s="45">
        <f>'Cash Flows'!I57</f>
        <v>-18980.399999999998</v>
      </c>
      <c r="E131" s="45">
        <f>'Cash Flows'!J57</f>
        <v>-17090.5</v>
      </c>
      <c r="F131" s="45">
        <f>'Cash Flows'!K57</f>
        <v>-14727</v>
      </c>
      <c r="G131" s="89">
        <v>-726</v>
      </c>
      <c r="H131" s="89">
        <v>-3000</v>
      </c>
      <c r="I131" s="89">
        <v>-300</v>
      </c>
      <c r="J131" s="89"/>
      <c r="K131" s="89"/>
      <c r="L131" s="38" t="s">
        <v>469</v>
      </c>
    </row>
    <row r="132" spans="2:12" x14ac:dyDescent="0.2">
      <c r="B132" s="50" t="s">
        <v>470</v>
      </c>
      <c r="C132" s="45">
        <f>'Cash Flows'!H59</f>
        <v>0</v>
      </c>
      <c r="D132" s="45">
        <f>'Cash Flows'!I59</f>
        <v>0.1</v>
      </c>
      <c r="E132" s="45">
        <f>'Cash Flows'!J59</f>
        <v>0.1</v>
      </c>
      <c r="F132" s="45">
        <f>'Cash Flows'!K59</f>
        <v>0</v>
      </c>
      <c r="G132" s="88">
        <f>G41*G75</f>
        <v>0</v>
      </c>
      <c r="H132" s="88">
        <f>H41*H75</f>
        <v>0</v>
      </c>
      <c r="I132" s="88">
        <f>I41*I75</f>
        <v>0</v>
      </c>
      <c r="J132" s="88">
        <f>J41*J75</f>
        <v>0</v>
      </c>
      <c r="K132" s="88">
        <f>K41*K75</f>
        <v>0</v>
      </c>
    </row>
    <row r="133" spans="2:12" x14ac:dyDescent="0.2">
      <c r="B133" s="50" t="s">
        <v>471</v>
      </c>
      <c r="C133" s="45">
        <f>'Cash Flows'!H58</f>
        <v>432</v>
      </c>
      <c r="D133" s="45">
        <f>'Cash Flows'!I58</f>
        <v>0</v>
      </c>
      <c r="E133" s="45">
        <f>'Cash Flows'!J58</f>
        <v>24137.100000000002</v>
      </c>
      <c r="F133" s="45">
        <f>'Cash Flows'!K58</f>
        <v>3269</v>
      </c>
    </row>
    <row r="134" spans="2:12" x14ac:dyDescent="0.2">
      <c r="B134" s="50" t="s">
        <v>472</v>
      </c>
      <c r="C134" s="88"/>
      <c r="D134" s="88"/>
      <c r="E134" s="88"/>
      <c r="F134" s="88"/>
      <c r="G134" s="88">
        <f>G40-G68</f>
        <v>-11080.010962700668</v>
      </c>
      <c r="H134" s="88">
        <f>H40-H68</f>
        <v>-4531.1241287862722</v>
      </c>
      <c r="I134" s="88">
        <f>I40-I68</f>
        <v>-7745.7531519761687</v>
      </c>
      <c r="J134" s="88">
        <f>J40-J68</f>
        <v>-8265.855317710786</v>
      </c>
      <c r="K134" s="88">
        <f>K40-K68</f>
        <v>-8490.4327571058038</v>
      </c>
    </row>
    <row r="135" spans="2:12" x14ac:dyDescent="0.2">
      <c r="B135" s="82" t="s">
        <v>473</v>
      </c>
      <c r="C135" s="66">
        <f>SUM(C131:C134)</f>
        <v>-14679.5</v>
      </c>
      <c r="D135" s="66">
        <f t="shared" ref="D135:K135" si="59">SUM(D131:D134)</f>
        <v>-18980.3</v>
      </c>
      <c r="E135" s="66">
        <f t="shared" si="59"/>
        <v>7046.7000000000007</v>
      </c>
      <c r="F135" s="66">
        <f t="shared" si="59"/>
        <v>-11458</v>
      </c>
      <c r="G135" s="66">
        <f t="shared" si="59"/>
        <v>-11806.010962700668</v>
      </c>
      <c r="H135" s="66">
        <f t="shared" si="59"/>
        <v>-7531.1241287862722</v>
      </c>
      <c r="I135" s="66">
        <f t="shared" si="59"/>
        <v>-8045.7531519761687</v>
      </c>
      <c r="J135" s="66">
        <f t="shared" si="59"/>
        <v>-8265.855317710786</v>
      </c>
      <c r="K135" s="66">
        <f t="shared" si="59"/>
        <v>-8490.4327571058038</v>
      </c>
    </row>
    <row r="137" spans="2:12" x14ac:dyDescent="0.2">
      <c r="B137" s="38" t="s">
        <v>474</v>
      </c>
      <c r="C137" s="88">
        <f>C123+C128+C135</f>
        <v>-1433.0000000000036</v>
      </c>
      <c r="D137" s="88">
        <f t="shared" ref="D137:K137" si="60">D123+D128+D135</f>
        <v>-60.999999999992724</v>
      </c>
      <c r="E137" s="88">
        <f t="shared" si="60"/>
        <v>89.300000000001091</v>
      </c>
      <c r="F137" s="88">
        <f t="shared" si="60"/>
        <v>1849</v>
      </c>
      <c r="G137" s="56">
        <f t="shared" si="60"/>
        <v>-3731</v>
      </c>
      <c r="H137" s="56">
        <f t="shared" si="60"/>
        <v>0</v>
      </c>
      <c r="I137" s="56">
        <f t="shared" si="60"/>
        <v>0</v>
      </c>
      <c r="J137" s="56">
        <f t="shared" si="60"/>
        <v>0</v>
      </c>
      <c r="K137" s="56">
        <f t="shared" si="60"/>
        <v>0</v>
      </c>
    </row>
    <row r="138" spans="2:12" x14ac:dyDescent="0.2">
      <c r="B138" s="38" t="s">
        <v>199</v>
      </c>
      <c r="C138" s="56">
        <f>'Balance Sheet'!H27</f>
        <v>1453.2</v>
      </c>
      <c r="D138" s="56">
        <f>'Balance Sheet'!I27</f>
        <v>228.8</v>
      </c>
      <c r="E138" s="56">
        <f>'Balance Sheet'!J27</f>
        <v>167.8</v>
      </c>
      <c r="F138" s="56">
        <f>'Balance Sheet'!K27</f>
        <v>256.8</v>
      </c>
      <c r="G138" s="56">
        <f>F84</f>
        <v>5731</v>
      </c>
      <c r="H138" s="56">
        <f>G84</f>
        <v>2000</v>
      </c>
      <c r="I138" s="56">
        <f>H84</f>
        <v>2000</v>
      </c>
      <c r="J138" s="56">
        <f>I84</f>
        <v>2000</v>
      </c>
      <c r="K138" s="56">
        <f>J84</f>
        <v>2000</v>
      </c>
    </row>
    <row r="139" spans="2:12" ht="17" thickBot="1" x14ac:dyDescent="0.25">
      <c r="B139" s="90" t="s">
        <v>200</v>
      </c>
      <c r="C139" s="91">
        <f>SUM(C137:C138)</f>
        <v>20.199999999996407</v>
      </c>
      <c r="D139" s="91">
        <f t="shared" ref="D139:K139" si="61">SUM(D137:D138)</f>
        <v>167.80000000000729</v>
      </c>
      <c r="E139" s="91">
        <f t="shared" si="61"/>
        <v>257.1000000000011</v>
      </c>
      <c r="F139" s="91">
        <f t="shared" si="61"/>
        <v>2105.8000000000002</v>
      </c>
      <c r="G139" s="91">
        <f t="shared" si="61"/>
        <v>2000</v>
      </c>
      <c r="H139" s="91">
        <f t="shared" si="61"/>
        <v>2000</v>
      </c>
      <c r="I139" s="91">
        <f t="shared" si="61"/>
        <v>2000</v>
      </c>
      <c r="J139" s="91">
        <f t="shared" si="61"/>
        <v>2000</v>
      </c>
      <c r="K139" s="91">
        <f t="shared" si="61"/>
        <v>2000</v>
      </c>
    </row>
    <row r="140" spans="2:12" ht="17" thickTop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showGridLines="0" zoomScaleNormal="100" workbookViewId="0"/>
  </sheetViews>
  <sheetFormatPr baseColWidth="10" defaultColWidth="8.6640625" defaultRowHeight="15" x14ac:dyDescent="0.2"/>
  <cols>
    <col min="1" max="1" width="130" customWidth="1"/>
  </cols>
  <sheetData>
    <row r="1" spans="1:1" ht="18" x14ac:dyDescent="0.2">
      <c r="A1" s="1" t="s">
        <v>0</v>
      </c>
    </row>
    <row r="2" spans="1:1" ht="27" customHeight="1" x14ac:dyDescent="0.2">
      <c r="A2" s="2" t="s">
        <v>1</v>
      </c>
    </row>
    <row r="3" spans="1:1" x14ac:dyDescent="0.2">
      <c r="A3" s="2"/>
    </row>
    <row r="4" spans="1:1" x14ac:dyDescent="0.2">
      <c r="A4" s="3" t="s">
        <v>2</v>
      </c>
    </row>
    <row r="5" spans="1:1" ht="27" customHeight="1" x14ac:dyDescent="0.2">
      <c r="A5" s="2" t="s">
        <v>3</v>
      </c>
    </row>
    <row r="6" spans="1:1" ht="27" customHeight="1" x14ac:dyDescent="0.2">
      <c r="A6" s="2" t="s">
        <v>4</v>
      </c>
    </row>
    <row r="7" spans="1:1" x14ac:dyDescent="0.2">
      <c r="A7" s="2"/>
    </row>
    <row r="8" spans="1:1" x14ac:dyDescent="0.2">
      <c r="A8" s="3" t="s">
        <v>5</v>
      </c>
    </row>
    <row r="9" spans="1:1" ht="40.5" customHeight="1" x14ac:dyDescent="0.2">
      <c r="A9" s="2" t="s">
        <v>6</v>
      </c>
    </row>
    <row r="10" spans="1:1" x14ac:dyDescent="0.2">
      <c r="A10" s="2" t="s">
        <v>7</v>
      </c>
    </row>
    <row r="11" spans="1:1" x14ac:dyDescent="0.2">
      <c r="A11" s="2"/>
    </row>
    <row r="12" spans="1:1" x14ac:dyDescent="0.2">
      <c r="A12" s="3" t="s">
        <v>8</v>
      </c>
    </row>
    <row r="13" spans="1:1" x14ac:dyDescent="0.2">
      <c r="A13" s="2" t="s">
        <v>9</v>
      </c>
    </row>
    <row r="14" spans="1:1" ht="27" customHeight="1" x14ac:dyDescent="0.2">
      <c r="A14" s="2" t="s">
        <v>10</v>
      </c>
    </row>
    <row r="15" spans="1:1" ht="27" customHeight="1" x14ac:dyDescent="0.2">
      <c r="A15" s="2" t="s">
        <v>11</v>
      </c>
    </row>
    <row r="16" spans="1:1" x14ac:dyDescent="0.2">
      <c r="A16" s="2" t="s">
        <v>12</v>
      </c>
    </row>
    <row r="17" spans="1:1" x14ac:dyDescent="0.2">
      <c r="A17" s="2"/>
    </row>
    <row r="18" spans="1:1" x14ac:dyDescent="0.2">
      <c r="A18" s="3" t="s">
        <v>13</v>
      </c>
    </row>
    <row r="19" spans="1:1" ht="27" customHeight="1" x14ac:dyDescent="0.2">
      <c r="A19" s="2" t="s">
        <v>14</v>
      </c>
    </row>
    <row r="20" spans="1:1" ht="40.5" customHeight="1" x14ac:dyDescent="0.2">
      <c r="A20" s="2" t="s">
        <v>15</v>
      </c>
    </row>
    <row r="21" spans="1:1" ht="27" customHeight="1" x14ac:dyDescent="0.2">
      <c r="A21" s="2" t="s">
        <v>16</v>
      </c>
    </row>
    <row r="22" spans="1:1" x14ac:dyDescent="0.2">
      <c r="A22" s="2"/>
    </row>
    <row r="23" spans="1:1" x14ac:dyDescent="0.2">
      <c r="A23" s="3" t="s">
        <v>17</v>
      </c>
    </row>
    <row r="24" spans="1:1" ht="40.5" customHeight="1" x14ac:dyDescent="0.2">
      <c r="A24" s="2" t="s">
        <v>18</v>
      </c>
    </row>
    <row r="25" spans="1:1" ht="67.5" customHeight="1" x14ac:dyDescent="0.2">
      <c r="A25" s="2" t="s">
        <v>19</v>
      </c>
    </row>
    <row r="26" spans="1:1" ht="27" customHeight="1" x14ac:dyDescent="0.2">
      <c r="A26" s="2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showGridLines="0" zoomScaleNormal="100" workbookViewId="0">
      <pane xSplit="1" ySplit="7" topLeftCell="B24" activePane="bottomRight" state="frozen"/>
      <selection pane="topRight" activeCell="B1" sqref="B1"/>
      <selection pane="bottomLeft" activeCell="A8" sqref="A8"/>
      <selection pane="bottomRight" activeCell="H36" sqref="H36"/>
    </sheetView>
  </sheetViews>
  <sheetFormatPr baseColWidth="10" defaultColWidth="8.6640625" defaultRowHeight="15" x14ac:dyDescent="0.2"/>
  <cols>
    <col min="1" max="1" width="78" customWidth="1"/>
    <col min="2" max="6" width="17" customWidth="1"/>
    <col min="8" max="11" width="11.6640625" bestFit="1" customWidth="1"/>
  </cols>
  <sheetData>
    <row r="1" spans="1:12" ht="16" x14ac:dyDescent="0.2">
      <c r="A1" s="4" t="s">
        <v>21</v>
      </c>
    </row>
    <row r="2" spans="1:12" x14ac:dyDescent="0.2">
      <c r="A2" s="5" t="s">
        <v>22</v>
      </c>
    </row>
    <row r="3" spans="1:12" x14ac:dyDescent="0.2">
      <c r="A3" s="6" t="s">
        <v>23</v>
      </c>
    </row>
    <row r="5" spans="1:12" ht="42" customHeight="1" x14ac:dyDescent="0.2">
      <c r="A5" s="7" t="s">
        <v>24</v>
      </c>
      <c r="B5" s="8" t="s">
        <v>25</v>
      </c>
      <c r="C5" s="8" t="s">
        <v>26</v>
      </c>
      <c r="D5" s="8" t="s">
        <v>27</v>
      </c>
      <c r="E5" s="8" t="s">
        <v>28</v>
      </c>
      <c r="F5" s="8" t="s">
        <v>29</v>
      </c>
    </row>
    <row r="6" spans="1:12" ht="25.5" customHeight="1" x14ac:dyDescent="0.2">
      <c r="A6" s="9" t="s">
        <v>30</v>
      </c>
      <c r="B6" s="10" t="s">
        <v>31</v>
      </c>
      <c r="C6" s="10" t="s">
        <v>32</v>
      </c>
      <c r="D6" s="10" t="s">
        <v>33</v>
      </c>
      <c r="E6" s="10" t="s">
        <v>34</v>
      </c>
      <c r="F6" s="10" t="s">
        <v>35</v>
      </c>
    </row>
    <row r="7" spans="1:12" x14ac:dyDescent="0.2">
      <c r="A7" s="9" t="s">
        <v>36</v>
      </c>
      <c r="B7" s="11" t="s">
        <v>37</v>
      </c>
      <c r="C7" s="11" t="s">
        <v>37</v>
      </c>
      <c r="D7" s="11" t="s">
        <v>37</v>
      </c>
      <c r="E7" s="11" t="s">
        <v>37</v>
      </c>
      <c r="F7" s="11" t="s">
        <v>38</v>
      </c>
    </row>
    <row r="8" spans="1:12" x14ac:dyDescent="0.2">
      <c r="A8" s="3" t="s">
        <v>39</v>
      </c>
      <c r="B8" s="12"/>
      <c r="C8" s="12"/>
      <c r="D8" s="12"/>
      <c r="E8" s="12"/>
      <c r="F8" s="12"/>
    </row>
    <row r="9" spans="1:12" x14ac:dyDescent="0.2">
      <c r="A9" s="13" t="s">
        <v>40</v>
      </c>
    </row>
    <row r="10" spans="1:12" x14ac:dyDescent="0.2">
      <c r="A10" s="14" t="s">
        <v>41</v>
      </c>
      <c r="B10" s="15">
        <v>53632.7</v>
      </c>
      <c r="C10" s="28">
        <v>59821.1</v>
      </c>
      <c r="D10" s="28">
        <v>52176</v>
      </c>
      <c r="E10" s="28">
        <v>56195.6</v>
      </c>
      <c r="F10" s="28">
        <v>64240</v>
      </c>
      <c r="H10" s="32">
        <f>C10+C11+C12+C13</f>
        <v>174131.6</v>
      </c>
      <c r="I10" s="32">
        <f t="shared" ref="I10:K10" si="0">D10+D11+D12+D13</f>
        <v>158313.9</v>
      </c>
      <c r="J10" s="32">
        <f t="shared" si="0"/>
        <v>159531.80000000002</v>
      </c>
      <c r="K10" s="32">
        <f t="shared" si="0"/>
        <v>158360</v>
      </c>
      <c r="L10" t="s">
        <v>361</v>
      </c>
    </row>
    <row r="11" spans="1:12" x14ac:dyDescent="0.2">
      <c r="A11" s="14" t="s">
        <v>42</v>
      </c>
      <c r="B11" s="15">
        <v>323.89999999999998</v>
      </c>
      <c r="C11" s="28">
        <v>300.3</v>
      </c>
      <c r="D11" s="28">
        <v>638.79999999999995</v>
      </c>
      <c r="E11" s="28">
        <v>2471.6</v>
      </c>
      <c r="F11" s="28">
        <v>1454</v>
      </c>
    </row>
    <row r="12" spans="1:12" x14ac:dyDescent="0.2">
      <c r="A12" s="14" t="s">
        <v>43</v>
      </c>
      <c r="B12" s="15">
        <v>103185.9</v>
      </c>
      <c r="C12" s="28">
        <v>96434.1</v>
      </c>
      <c r="D12" s="28">
        <v>87948.800000000003</v>
      </c>
      <c r="E12" s="28">
        <v>85124</v>
      </c>
      <c r="F12" s="28">
        <v>78846</v>
      </c>
    </row>
    <row r="13" spans="1:12" x14ac:dyDescent="0.2">
      <c r="A13" s="14" t="s">
        <v>44</v>
      </c>
      <c r="B13" s="15">
        <v>40.4</v>
      </c>
      <c r="C13" s="28">
        <v>17576.099999999999</v>
      </c>
      <c r="D13" s="28">
        <v>17550.3</v>
      </c>
      <c r="E13" s="28">
        <v>15740.6</v>
      </c>
      <c r="F13" s="28">
        <v>13820</v>
      </c>
    </row>
    <row r="14" spans="1:12" x14ac:dyDescent="0.2">
      <c r="A14" s="14" t="s">
        <v>45</v>
      </c>
      <c r="B14" s="15">
        <v>5.3</v>
      </c>
      <c r="C14" s="28">
        <v>5.8</v>
      </c>
      <c r="D14" s="28">
        <v>0.3</v>
      </c>
      <c r="E14" s="28">
        <v>0</v>
      </c>
      <c r="F14" s="28">
        <v>0</v>
      </c>
      <c r="H14" s="31">
        <f>C14+C23</f>
        <v>5.8</v>
      </c>
      <c r="I14" s="31">
        <f t="shared" ref="I14:K14" si="1">D14+D23</f>
        <v>0.5</v>
      </c>
      <c r="J14" s="31">
        <f t="shared" si="1"/>
        <v>0</v>
      </c>
      <c r="K14" s="31">
        <f t="shared" si="1"/>
        <v>107</v>
      </c>
      <c r="L14" t="s">
        <v>362</v>
      </c>
    </row>
    <row r="15" spans="1:12" x14ac:dyDescent="0.2">
      <c r="A15" s="14" t="s">
        <v>47</v>
      </c>
    </row>
    <row r="16" spans="1:12" x14ac:dyDescent="0.2">
      <c r="A16" s="16" t="s">
        <v>48</v>
      </c>
      <c r="B16" s="15">
        <v>8849.2000000000007</v>
      </c>
      <c r="C16" s="30">
        <v>8850.1</v>
      </c>
      <c r="D16" s="30">
        <v>7100.2</v>
      </c>
      <c r="E16" s="30">
        <v>728</v>
      </c>
      <c r="F16" s="30">
        <v>3356</v>
      </c>
      <c r="H16" s="29">
        <f>C16+C18+C29+C27</f>
        <v>30006.800000000003</v>
      </c>
      <c r="I16" s="29">
        <f t="shared" ref="I16:K16" si="2">D16+D18+D29+D27</f>
        <v>23882.1</v>
      </c>
      <c r="J16" s="29">
        <f t="shared" si="2"/>
        <v>25753.3</v>
      </c>
      <c r="K16" s="29">
        <f t="shared" si="2"/>
        <v>25423</v>
      </c>
      <c r="L16" t="s">
        <v>364</v>
      </c>
    </row>
    <row r="17" spans="1:13" x14ac:dyDescent="0.2">
      <c r="A17" s="14" t="s">
        <v>49</v>
      </c>
      <c r="B17" s="15">
        <v>6</v>
      </c>
      <c r="C17" s="28">
        <v>13.5</v>
      </c>
      <c r="D17" s="28">
        <v>13.8</v>
      </c>
      <c r="E17" s="28">
        <v>11.6</v>
      </c>
      <c r="F17" s="28">
        <v>17</v>
      </c>
      <c r="H17" s="29">
        <f>C17+C28</f>
        <v>13.5</v>
      </c>
      <c r="I17" s="29">
        <f t="shared" ref="I17:K17" si="3">D17+D28</f>
        <v>19.700000000000003</v>
      </c>
      <c r="J17" s="29">
        <f t="shared" si="3"/>
        <v>11.6</v>
      </c>
      <c r="K17" s="29">
        <f t="shared" si="3"/>
        <v>27</v>
      </c>
      <c r="L17" t="s">
        <v>365</v>
      </c>
    </row>
    <row r="18" spans="1:13" x14ac:dyDescent="0.2">
      <c r="A18" s="14" t="s">
        <v>50</v>
      </c>
      <c r="B18" s="15">
        <v>11150.2</v>
      </c>
      <c r="C18" s="28">
        <v>10338.799999999999</v>
      </c>
      <c r="D18" s="28">
        <v>6659.7</v>
      </c>
      <c r="E18" s="28">
        <v>6555.7</v>
      </c>
      <c r="F18" s="28">
        <v>8029</v>
      </c>
    </row>
    <row r="19" spans="1:13" x14ac:dyDescent="0.2">
      <c r="A19" s="13" t="s">
        <v>51</v>
      </c>
      <c r="B19" s="17">
        <v>177193.60000000001</v>
      </c>
      <c r="C19" s="17">
        <v>193339.8</v>
      </c>
      <c r="D19" s="17">
        <v>172087.9</v>
      </c>
      <c r="E19" s="17">
        <v>166827.1</v>
      </c>
      <c r="F19" s="17">
        <v>169762</v>
      </c>
    </row>
    <row r="20" spans="1:13" x14ac:dyDescent="0.2">
      <c r="A20" s="13" t="s">
        <v>52</v>
      </c>
    </row>
    <row r="21" spans="1:13" x14ac:dyDescent="0.2">
      <c r="A21" s="14" t="s">
        <v>53</v>
      </c>
      <c r="B21" s="15">
        <v>2.2999999999999998</v>
      </c>
      <c r="C21" s="28">
        <v>16.3</v>
      </c>
      <c r="D21" s="28">
        <v>1.2</v>
      </c>
      <c r="E21" s="28">
        <v>1.1000000000000001</v>
      </c>
      <c r="F21" s="28">
        <v>21</v>
      </c>
      <c r="H21" s="31">
        <f>C21</f>
        <v>16.3</v>
      </c>
      <c r="I21" s="31">
        <f t="shared" ref="I21:K21" si="4">D21</f>
        <v>1.2</v>
      </c>
      <c r="J21" s="31">
        <f t="shared" si="4"/>
        <v>1.1000000000000001</v>
      </c>
      <c r="K21" s="31">
        <f t="shared" si="4"/>
        <v>21</v>
      </c>
      <c r="L21" t="s">
        <v>360</v>
      </c>
    </row>
    <row r="22" spans="1:13" x14ac:dyDescent="0.2">
      <c r="A22" s="14" t="s">
        <v>47</v>
      </c>
    </row>
    <row r="23" spans="1:13" x14ac:dyDescent="0.2">
      <c r="A23" s="16" t="s">
        <v>54</v>
      </c>
      <c r="C23" s="33"/>
      <c r="D23" s="28">
        <v>0.2</v>
      </c>
      <c r="E23" s="28">
        <v>0</v>
      </c>
      <c r="F23" s="28">
        <v>107</v>
      </c>
    </row>
    <row r="24" spans="1:13" x14ac:dyDescent="0.2">
      <c r="A24" s="16" t="s">
        <v>56</v>
      </c>
      <c r="B24" s="15">
        <v>2443.9</v>
      </c>
      <c r="C24" s="28">
        <v>2164</v>
      </c>
      <c r="D24" s="28">
        <v>2194.8000000000002</v>
      </c>
      <c r="E24" s="28">
        <v>2000.3</v>
      </c>
      <c r="F24" s="28">
        <v>1969</v>
      </c>
      <c r="H24" s="31">
        <f>C24</f>
        <v>2164</v>
      </c>
      <c r="I24" s="31">
        <f t="shared" ref="I24:K24" si="5">D24</f>
        <v>2194.8000000000002</v>
      </c>
      <c r="J24" s="31">
        <f t="shared" si="5"/>
        <v>2000.3</v>
      </c>
      <c r="K24" s="31">
        <f t="shared" si="5"/>
        <v>1969</v>
      </c>
      <c r="L24" t="s">
        <v>358</v>
      </c>
    </row>
    <row r="25" spans="1:13" x14ac:dyDescent="0.2">
      <c r="A25" s="16" t="s">
        <v>57</v>
      </c>
      <c r="B25" s="15">
        <v>1453.2</v>
      </c>
      <c r="C25" s="28">
        <v>228.8</v>
      </c>
      <c r="D25" s="28">
        <v>167.8</v>
      </c>
      <c r="E25" s="28">
        <v>256.8</v>
      </c>
      <c r="F25" s="28">
        <v>2106</v>
      </c>
      <c r="H25" s="29">
        <f>C25+C26</f>
        <v>855.40000000000009</v>
      </c>
      <c r="I25" s="29">
        <f t="shared" ref="I25:K25" si="6">D25+D26</f>
        <v>536.20000000000005</v>
      </c>
      <c r="J25" s="29">
        <f t="shared" si="6"/>
        <v>10568.5</v>
      </c>
      <c r="K25" s="29">
        <f t="shared" si="6"/>
        <v>5731</v>
      </c>
      <c r="L25" t="s">
        <v>359</v>
      </c>
    </row>
    <row r="26" spans="1:13" x14ac:dyDescent="0.2">
      <c r="A26" s="16" t="s">
        <v>58</v>
      </c>
      <c r="B26" s="15">
        <v>2043.4</v>
      </c>
      <c r="C26" s="28">
        <v>626.6</v>
      </c>
      <c r="D26" s="28">
        <v>368.4</v>
      </c>
      <c r="E26" s="28">
        <v>10311.700000000001</v>
      </c>
      <c r="F26" s="28">
        <v>3625</v>
      </c>
    </row>
    <row r="27" spans="1:13" x14ac:dyDescent="0.2">
      <c r="A27" s="16" t="s">
        <v>59</v>
      </c>
      <c r="B27" s="15">
        <v>75.599999999999994</v>
      </c>
      <c r="C27" s="28">
        <v>39.4</v>
      </c>
      <c r="D27" s="28">
        <v>53.4</v>
      </c>
      <c r="E27" s="28">
        <v>6926.2</v>
      </c>
      <c r="F27" s="28">
        <v>2131</v>
      </c>
      <c r="H27" s="31">
        <f>B25</f>
        <v>1453.2</v>
      </c>
      <c r="I27" s="31">
        <f t="shared" ref="I27:L27" si="7">C25</f>
        <v>228.8</v>
      </c>
      <c r="J27" s="31">
        <f t="shared" si="7"/>
        <v>167.8</v>
      </c>
      <c r="K27" s="31">
        <f t="shared" si="7"/>
        <v>256.8</v>
      </c>
      <c r="L27" s="31">
        <f t="shared" si="7"/>
        <v>2106</v>
      </c>
      <c r="M27" t="s">
        <v>378</v>
      </c>
    </row>
    <row r="28" spans="1:13" x14ac:dyDescent="0.2">
      <c r="A28" s="14" t="s">
        <v>60</v>
      </c>
      <c r="B28" s="15">
        <v>603.1</v>
      </c>
      <c r="C28" s="28">
        <v>0</v>
      </c>
      <c r="D28" s="28">
        <v>5.9</v>
      </c>
      <c r="E28" s="28">
        <v>0</v>
      </c>
      <c r="F28" s="28">
        <v>10</v>
      </c>
    </row>
    <row r="29" spans="1:13" x14ac:dyDescent="0.2">
      <c r="A29" s="14" t="s">
        <v>61</v>
      </c>
      <c r="B29" s="15">
        <v>10214</v>
      </c>
      <c r="C29" s="28">
        <v>10778.5</v>
      </c>
      <c r="D29" s="28">
        <v>10068.799999999999</v>
      </c>
      <c r="E29" s="28">
        <v>11543.4</v>
      </c>
      <c r="F29" s="28">
        <v>11907</v>
      </c>
    </row>
    <row r="30" spans="1:13" x14ac:dyDescent="0.2">
      <c r="A30" s="13" t="s">
        <v>62</v>
      </c>
      <c r="B30" s="17">
        <v>16835.5</v>
      </c>
      <c r="C30" s="17">
        <v>13853.6</v>
      </c>
      <c r="D30" s="17">
        <v>12860.5</v>
      </c>
      <c r="E30" s="17">
        <v>31039.5</v>
      </c>
      <c r="F30" s="17">
        <v>21876</v>
      </c>
    </row>
    <row r="31" spans="1:13" x14ac:dyDescent="0.2">
      <c r="A31" s="14" t="s">
        <v>63</v>
      </c>
      <c r="B31" s="15" t="s">
        <v>55</v>
      </c>
      <c r="C31" s="28">
        <v>49.3</v>
      </c>
      <c r="D31" s="28">
        <v>49.3</v>
      </c>
      <c r="E31" s="28">
        <v>0</v>
      </c>
      <c r="F31" s="28">
        <v>0</v>
      </c>
      <c r="H31" s="31">
        <f>C31</f>
        <v>49.3</v>
      </c>
      <c r="I31" s="31">
        <f t="shared" ref="I31:K31" si="8">D31</f>
        <v>49.3</v>
      </c>
      <c r="J31" s="31">
        <f t="shared" si="8"/>
        <v>0</v>
      </c>
      <c r="K31" s="31">
        <f t="shared" si="8"/>
        <v>0</v>
      </c>
      <c r="L31" t="s">
        <v>363</v>
      </c>
    </row>
    <row r="32" spans="1:13" x14ac:dyDescent="0.2">
      <c r="A32" s="13" t="s">
        <v>64</v>
      </c>
      <c r="B32" s="18">
        <v>194029.1</v>
      </c>
      <c r="C32" s="18">
        <v>207242.7</v>
      </c>
      <c r="D32" s="18">
        <v>184997.7</v>
      </c>
      <c r="E32" s="18">
        <v>197866.6</v>
      </c>
      <c r="F32" s="18">
        <v>191638</v>
      </c>
    </row>
    <row r="34" spans="1:12" x14ac:dyDescent="0.2">
      <c r="A34" s="3" t="s">
        <v>65</v>
      </c>
      <c r="B34" s="12"/>
      <c r="C34" s="12"/>
      <c r="D34" s="12"/>
      <c r="E34" s="12"/>
      <c r="F34" s="12"/>
      <c r="I34" s="29">
        <f>C32-'[1]Financial Statements'!$C$92</f>
        <v>0</v>
      </c>
    </row>
    <row r="35" spans="1:12" x14ac:dyDescent="0.2">
      <c r="A35" s="13" t="s">
        <v>66</v>
      </c>
    </row>
    <row r="36" spans="1:12" x14ac:dyDescent="0.2">
      <c r="A36" s="14" t="s">
        <v>67</v>
      </c>
      <c r="B36" s="15">
        <v>32118.799999999999</v>
      </c>
      <c r="C36" s="15">
        <v>48679.7</v>
      </c>
      <c r="D36" s="15">
        <v>50119.8</v>
      </c>
      <c r="E36" s="15">
        <v>71393</v>
      </c>
      <c r="F36" s="15">
        <v>108343</v>
      </c>
    </row>
    <row r="37" spans="1:12" x14ac:dyDescent="0.2">
      <c r="A37" s="14" t="s">
        <v>68</v>
      </c>
      <c r="B37" s="15">
        <v>-94083.6</v>
      </c>
      <c r="C37" s="15">
        <v>-123038.8</v>
      </c>
      <c r="D37" s="15">
        <v>-154286.6</v>
      </c>
      <c r="E37" s="15">
        <v>-141713.20000000001</v>
      </c>
      <c r="F37" s="15">
        <v>-144101</v>
      </c>
    </row>
    <row r="38" spans="1:12" x14ac:dyDescent="0.2">
      <c r="A38" s="13" t="s">
        <v>69</v>
      </c>
      <c r="B38" s="17">
        <v>-61964.800000000003</v>
      </c>
      <c r="C38" s="17">
        <v>-74359.100000000006</v>
      </c>
      <c r="D38" s="17">
        <v>-104166.8</v>
      </c>
      <c r="E38" s="17">
        <v>-70320.2</v>
      </c>
      <c r="F38" s="17">
        <v>-35758</v>
      </c>
    </row>
    <row r="39" spans="1:12" x14ac:dyDescent="0.2">
      <c r="A39" s="13" t="s">
        <v>70</v>
      </c>
    </row>
    <row r="40" spans="1:12" x14ac:dyDescent="0.2">
      <c r="A40" s="13" t="s">
        <v>71</v>
      </c>
    </row>
    <row r="41" spans="1:12" x14ac:dyDescent="0.2">
      <c r="A41" s="14" t="s">
        <v>72</v>
      </c>
    </row>
    <row r="42" spans="1:12" x14ac:dyDescent="0.2">
      <c r="A42" s="16" t="s">
        <v>73</v>
      </c>
    </row>
    <row r="43" spans="1:12" x14ac:dyDescent="0.2">
      <c r="A43" s="19" t="s">
        <v>74</v>
      </c>
      <c r="B43" s="15">
        <v>2836.3</v>
      </c>
      <c r="C43" s="28">
        <v>935.1</v>
      </c>
      <c r="D43" s="28">
        <v>0</v>
      </c>
      <c r="E43" s="33"/>
      <c r="F43" s="28">
        <v>3275</v>
      </c>
      <c r="H43" s="29">
        <f>C43+C44+C54+C55+C56</f>
        <v>201586</v>
      </c>
      <c r="I43" s="29">
        <f t="shared" ref="I43:K43" si="9">D43+D44+D54+D55+D56</f>
        <v>207629.80000000002</v>
      </c>
      <c r="J43" s="29">
        <f t="shared" si="9"/>
        <v>196296.2</v>
      </c>
      <c r="K43" s="29">
        <f t="shared" si="9"/>
        <v>149455</v>
      </c>
      <c r="L43" t="s">
        <v>369</v>
      </c>
    </row>
    <row r="44" spans="1:12" x14ac:dyDescent="0.2">
      <c r="A44" s="19" t="s">
        <v>75</v>
      </c>
      <c r="B44" s="15">
        <v>173114.5</v>
      </c>
      <c r="C44" s="28">
        <v>188355</v>
      </c>
      <c r="D44" s="28">
        <v>202896.2</v>
      </c>
      <c r="E44" s="28">
        <v>182768</v>
      </c>
      <c r="F44" s="28">
        <v>142473</v>
      </c>
    </row>
    <row r="45" spans="1:12" x14ac:dyDescent="0.2">
      <c r="A45" s="16" t="s">
        <v>76</v>
      </c>
      <c r="B45" s="15">
        <v>11432.5</v>
      </c>
      <c r="C45" s="28">
        <v>25061.200000000001</v>
      </c>
      <c r="D45" s="28">
        <v>24325</v>
      </c>
      <c r="E45" s="28">
        <v>29216.6</v>
      </c>
      <c r="F45" s="28">
        <v>36221</v>
      </c>
      <c r="H45" s="29">
        <f>C45+C57</f>
        <v>36180</v>
      </c>
      <c r="I45" s="29">
        <f t="shared" ref="I45:K45" si="10">D45+D57</f>
        <v>36179.199999999997</v>
      </c>
      <c r="J45" s="29">
        <f t="shared" si="10"/>
        <v>36932.5</v>
      </c>
      <c r="K45" s="29">
        <f t="shared" si="10"/>
        <v>43073</v>
      </c>
      <c r="L45" t="s">
        <v>367</v>
      </c>
    </row>
    <row r="46" spans="1:12" x14ac:dyDescent="0.2">
      <c r="A46" s="16" t="s">
        <v>77</v>
      </c>
      <c r="B46" s="15">
        <v>85.2</v>
      </c>
      <c r="C46" s="28">
        <v>105.8</v>
      </c>
      <c r="D46" s="28">
        <v>75.400000000000006</v>
      </c>
      <c r="E46" s="28">
        <v>0.4</v>
      </c>
      <c r="F46" s="28">
        <v>0</v>
      </c>
      <c r="H46" s="29">
        <f>C46+C58</f>
        <v>13642.199999999999</v>
      </c>
      <c r="I46" s="29">
        <f t="shared" ref="I46:K46" si="11">D46+D58</f>
        <v>13806.6</v>
      </c>
      <c r="J46" s="29">
        <f t="shared" si="11"/>
        <v>10748.4</v>
      </c>
      <c r="K46" s="29">
        <f t="shared" si="11"/>
        <v>8826</v>
      </c>
      <c r="L46" t="s">
        <v>366</v>
      </c>
    </row>
    <row r="47" spans="1:12" x14ac:dyDescent="0.2">
      <c r="A47" s="16" t="s">
        <v>78</v>
      </c>
      <c r="B47" s="15">
        <v>6846.1</v>
      </c>
      <c r="C47" s="28">
        <v>6662.3</v>
      </c>
      <c r="D47" s="28">
        <v>7293.3</v>
      </c>
      <c r="E47" s="28">
        <v>135.80000000000001</v>
      </c>
      <c r="F47" s="28">
        <v>5293</v>
      </c>
      <c r="H47">
        <f>C49+C62</f>
        <v>0</v>
      </c>
      <c r="I47">
        <f t="shared" ref="I47:K47" si="12">D49+D62</f>
        <v>528.5</v>
      </c>
      <c r="J47">
        <f t="shared" si="12"/>
        <v>275.59999999999997</v>
      </c>
      <c r="K47">
        <f t="shared" si="12"/>
        <v>267</v>
      </c>
      <c r="L47" t="s">
        <v>370</v>
      </c>
    </row>
    <row r="48" spans="1:12" x14ac:dyDescent="0.2">
      <c r="A48" s="14" t="s">
        <v>79</v>
      </c>
      <c r="B48" s="15">
        <v>38.4</v>
      </c>
      <c r="C48" s="28">
        <v>23.5</v>
      </c>
      <c r="D48" s="28">
        <v>20.9</v>
      </c>
      <c r="E48" s="28">
        <v>5</v>
      </c>
      <c r="F48" s="28">
        <v>54</v>
      </c>
      <c r="H48" s="29">
        <f>C48+C61</f>
        <v>38.299999999999997</v>
      </c>
      <c r="I48" s="29">
        <f t="shared" ref="I48:K48" si="13">D48+D61</f>
        <v>57.4</v>
      </c>
      <c r="J48" s="29">
        <f t="shared" si="13"/>
        <v>78.400000000000006</v>
      </c>
      <c r="K48" s="29">
        <f t="shared" si="13"/>
        <v>71</v>
      </c>
      <c r="L48" t="s">
        <v>368</v>
      </c>
    </row>
    <row r="49" spans="1:12" x14ac:dyDescent="0.2">
      <c r="A49" s="14" t="s">
        <v>80</v>
      </c>
      <c r="C49" s="33"/>
      <c r="D49" s="28">
        <v>0.4</v>
      </c>
      <c r="E49" s="28">
        <v>16.7</v>
      </c>
      <c r="F49" s="28">
        <v>8</v>
      </c>
      <c r="H49" s="29">
        <f>C47+C50+C59+C60</f>
        <v>30155.300000000003</v>
      </c>
      <c r="I49" s="29">
        <f t="shared" ref="I49:K49" si="14">D47+D50+D59+D60</f>
        <v>30963</v>
      </c>
      <c r="J49" s="29">
        <f t="shared" si="14"/>
        <v>23855.7</v>
      </c>
      <c r="K49" s="29">
        <f t="shared" si="14"/>
        <v>25704</v>
      </c>
      <c r="L49" t="s">
        <v>371</v>
      </c>
    </row>
    <row r="50" spans="1:12" x14ac:dyDescent="0.2">
      <c r="A50" s="14" t="s">
        <v>81</v>
      </c>
      <c r="B50" s="15">
        <v>507</v>
      </c>
      <c r="C50" s="28">
        <v>436.2</v>
      </c>
      <c r="D50" s="28">
        <v>412</v>
      </c>
      <c r="E50" s="28">
        <v>430.4</v>
      </c>
      <c r="F50" s="28">
        <v>383</v>
      </c>
    </row>
    <row r="51" spans="1:12" x14ac:dyDescent="0.2">
      <c r="A51" s="13" t="s">
        <v>82</v>
      </c>
      <c r="B51" s="17">
        <v>194860</v>
      </c>
      <c r="C51" s="17">
        <v>221579.1</v>
      </c>
      <c r="D51" s="17">
        <v>235023.2</v>
      </c>
      <c r="E51" s="17">
        <v>212572.9</v>
      </c>
      <c r="F51" s="17">
        <v>187707</v>
      </c>
    </row>
    <row r="52" spans="1:12" x14ac:dyDescent="0.2">
      <c r="A52" s="13" t="s">
        <v>83</v>
      </c>
    </row>
    <row r="53" spans="1:12" x14ac:dyDescent="0.2">
      <c r="A53" s="14" t="s">
        <v>72</v>
      </c>
    </row>
    <row r="54" spans="1:12" ht="27" customHeight="1" x14ac:dyDescent="0.2">
      <c r="A54" s="16" t="s">
        <v>84</v>
      </c>
      <c r="B54" s="15">
        <v>14966.9</v>
      </c>
      <c r="C54" s="28">
        <v>12295.9</v>
      </c>
      <c r="D54" s="28">
        <v>4733.6000000000004</v>
      </c>
      <c r="E54" s="33"/>
      <c r="F54" s="33"/>
    </row>
    <row r="55" spans="1:12" x14ac:dyDescent="0.2">
      <c r="A55" s="16" t="s">
        <v>85</v>
      </c>
      <c r="C55" s="33"/>
      <c r="D55" s="33"/>
      <c r="E55" s="28">
        <v>2326</v>
      </c>
      <c r="F55" s="28">
        <v>726</v>
      </c>
    </row>
    <row r="56" spans="1:12" ht="27" customHeight="1" x14ac:dyDescent="0.2">
      <c r="A56" s="16" t="s">
        <v>86</v>
      </c>
      <c r="C56" s="33"/>
      <c r="D56" s="33"/>
      <c r="E56" s="28">
        <v>11202.2</v>
      </c>
      <c r="F56" s="28">
        <v>2981</v>
      </c>
    </row>
    <row r="57" spans="1:12" x14ac:dyDescent="0.2">
      <c r="A57" s="16" t="s">
        <v>76</v>
      </c>
      <c r="B57" s="15">
        <v>11410.9</v>
      </c>
      <c r="C57" s="28">
        <v>11118.8</v>
      </c>
      <c r="D57" s="28">
        <v>11854.2</v>
      </c>
      <c r="E57" s="28">
        <v>7715.9</v>
      </c>
      <c r="F57" s="28">
        <v>6852</v>
      </c>
    </row>
    <row r="58" spans="1:12" x14ac:dyDescent="0.2">
      <c r="A58" s="16" t="s">
        <v>77</v>
      </c>
      <c r="B58" s="15">
        <v>13169.9</v>
      </c>
      <c r="C58" s="28">
        <v>13536.4</v>
      </c>
      <c r="D58" s="28">
        <v>13731.2</v>
      </c>
      <c r="E58" s="28">
        <v>10748</v>
      </c>
      <c r="F58" s="28">
        <v>8826</v>
      </c>
    </row>
    <row r="59" spans="1:12" x14ac:dyDescent="0.2">
      <c r="A59" s="16" t="s">
        <v>87</v>
      </c>
      <c r="B59" s="15">
        <v>13960.6</v>
      </c>
      <c r="C59" s="28">
        <v>15355.7</v>
      </c>
      <c r="D59" s="28">
        <v>15143.2</v>
      </c>
      <c r="E59" s="28">
        <v>14809.3</v>
      </c>
      <c r="F59" s="28">
        <v>14431</v>
      </c>
    </row>
    <row r="60" spans="1:12" x14ac:dyDescent="0.2">
      <c r="A60" s="14" t="s">
        <v>88</v>
      </c>
      <c r="B60" s="15">
        <v>7601.8</v>
      </c>
      <c r="C60" s="28">
        <v>7701.1</v>
      </c>
      <c r="D60" s="28">
        <v>8114.5</v>
      </c>
      <c r="E60" s="28">
        <v>8480.2000000000007</v>
      </c>
      <c r="F60" s="28">
        <v>5597</v>
      </c>
    </row>
    <row r="61" spans="1:12" x14ac:dyDescent="0.2">
      <c r="A61" s="14" t="s">
        <v>89</v>
      </c>
      <c r="B61" s="15">
        <v>23.8</v>
      </c>
      <c r="C61" s="28">
        <v>14.8</v>
      </c>
      <c r="D61" s="28">
        <v>36.5</v>
      </c>
      <c r="E61" s="28">
        <v>73.400000000000006</v>
      </c>
      <c r="F61" s="28">
        <v>17</v>
      </c>
    </row>
    <row r="62" spans="1:12" x14ac:dyDescent="0.2">
      <c r="A62" s="14" t="s">
        <v>90</v>
      </c>
      <c r="C62" s="33"/>
      <c r="D62" s="28">
        <v>528.1</v>
      </c>
      <c r="E62" s="28">
        <v>258.89999999999998</v>
      </c>
      <c r="F62" s="28">
        <v>259</v>
      </c>
    </row>
    <row r="63" spans="1:12" x14ac:dyDescent="0.2">
      <c r="A63" s="13" t="s">
        <v>91</v>
      </c>
      <c r="B63" s="17">
        <v>61133.9</v>
      </c>
      <c r="C63" s="17">
        <v>60022.7</v>
      </c>
      <c r="D63" s="17">
        <v>54141.3</v>
      </c>
      <c r="E63" s="17">
        <v>55613.9</v>
      </c>
      <c r="F63" s="17">
        <v>39689</v>
      </c>
      <c r="H63" s="29">
        <f>C63+C51</f>
        <v>281601.8</v>
      </c>
      <c r="I63" s="29">
        <f t="shared" ref="I63:K63" si="15">D63+D51</f>
        <v>289164.5</v>
      </c>
      <c r="J63" s="29">
        <f t="shared" si="15"/>
        <v>268186.8</v>
      </c>
      <c r="K63" s="29">
        <f t="shared" si="15"/>
        <v>227396</v>
      </c>
    </row>
    <row r="64" spans="1:12" x14ac:dyDescent="0.2">
      <c r="A64" s="13" t="s">
        <v>92</v>
      </c>
      <c r="B64" s="18">
        <v>194029.1</v>
      </c>
      <c r="C64" s="18">
        <v>207242.7</v>
      </c>
      <c r="D64" s="18">
        <v>184997.7</v>
      </c>
      <c r="E64" s="18">
        <v>197866.6</v>
      </c>
      <c r="F64" s="18">
        <v>191638</v>
      </c>
    </row>
    <row r="66" spans="1:1" x14ac:dyDescent="0.2">
      <c r="A66" s="9" t="s">
        <v>93</v>
      </c>
    </row>
    <row r="67" spans="1:1" x14ac:dyDescent="0.2">
      <c r="A67" s="9" t="s">
        <v>94</v>
      </c>
    </row>
    <row r="68" spans="1:1" x14ac:dyDescent="0.2">
      <c r="A68" s="9" t="s">
        <v>95</v>
      </c>
    </row>
    <row r="69" spans="1:1" x14ac:dyDescent="0.2">
      <c r="A69" s="9" t="s">
        <v>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3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2" sqref="A12"/>
    </sheetView>
  </sheetViews>
  <sheetFormatPr baseColWidth="10" defaultColWidth="8.6640625" defaultRowHeight="15" x14ac:dyDescent="0.2"/>
  <cols>
    <col min="1" max="1" width="78" customWidth="1"/>
    <col min="2" max="6" width="17" customWidth="1"/>
  </cols>
  <sheetData>
    <row r="1" spans="1:12" ht="16" x14ac:dyDescent="0.2">
      <c r="A1" s="4" t="s">
        <v>21</v>
      </c>
    </row>
    <row r="2" spans="1:12" x14ac:dyDescent="0.2">
      <c r="A2" s="5" t="s">
        <v>97</v>
      </c>
    </row>
    <row r="3" spans="1:12" x14ac:dyDescent="0.2">
      <c r="A3" s="6" t="s">
        <v>23</v>
      </c>
    </row>
    <row r="5" spans="1:12" ht="42" customHeight="1" x14ac:dyDescent="0.2">
      <c r="A5" s="7" t="s">
        <v>24</v>
      </c>
      <c r="B5" s="8" t="s">
        <v>98</v>
      </c>
      <c r="C5" s="8" t="s">
        <v>99</v>
      </c>
      <c r="D5" s="8" t="s">
        <v>100</v>
      </c>
      <c r="E5" s="8" t="s">
        <v>101</v>
      </c>
      <c r="F5" s="8" t="s">
        <v>102</v>
      </c>
    </row>
    <row r="6" spans="1:12" ht="25.5" customHeight="1" x14ac:dyDescent="0.2">
      <c r="A6" s="9" t="s">
        <v>30</v>
      </c>
      <c r="B6" s="10" t="s">
        <v>31</v>
      </c>
      <c r="C6" s="10" t="s">
        <v>32</v>
      </c>
      <c r="D6" s="10" t="s">
        <v>33</v>
      </c>
      <c r="E6" s="10" t="s">
        <v>34</v>
      </c>
      <c r="F6" s="10" t="s">
        <v>35</v>
      </c>
    </row>
    <row r="7" spans="1:12" x14ac:dyDescent="0.2">
      <c r="A7" s="9" t="s">
        <v>36</v>
      </c>
      <c r="B7" s="11" t="s">
        <v>37</v>
      </c>
      <c r="C7" s="11" t="s">
        <v>37</v>
      </c>
      <c r="D7" s="11" t="s">
        <v>37</v>
      </c>
      <c r="E7" s="11" t="s">
        <v>37</v>
      </c>
      <c r="F7" s="11" t="s">
        <v>38</v>
      </c>
    </row>
    <row r="8" spans="1:12" x14ac:dyDescent="0.2">
      <c r="A8" s="3" t="s">
        <v>103</v>
      </c>
      <c r="B8" s="12"/>
      <c r="C8" s="12"/>
      <c r="D8" s="12"/>
      <c r="E8" s="12"/>
      <c r="F8" s="12"/>
    </row>
    <row r="9" spans="1:12" x14ac:dyDescent="0.2">
      <c r="A9" s="14" t="s">
        <v>104</v>
      </c>
      <c r="B9" s="15">
        <v>38489.5</v>
      </c>
      <c r="C9" s="28">
        <v>42133.9</v>
      </c>
      <c r="D9" s="28">
        <v>42554.9</v>
      </c>
      <c r="E9" s="28">
        <v>43453.7</v>
      </c>
      <c r="F9" s="28">
        <v>44782</v>
      </c>
    </row>
    <row r="10" spans="1:12" x14ac:dyDescent="0.2">
      <c r="A10" s="14" t="s">
        <v>105</v>
      </c>
      <c r="B10" s="15">
        <v>8.9</v>
      </c>
      <c r="C10" s="28">
        <v>8.6999999999999993</v>
      </c>
      <c r="D10" s="28">
        <v>17.8</v>
      </c>
      <c r="E10" s="28">
        <v>2</v>
      </c>
      <c r="F10" s="28">
        <v>7</v>
      </c>
    </row>
    <row r="11" spans="1:12" x14ac:dyDescent="0.2">
      <c r="A11" s="14" t="s">
        <v>106</v>
      </c>
      <c r="B11" s="15">
        <v>17.100000000000001</v>
      </c>
      <c r="C11" s="28">
        <v>34.6</v>
      </c>
      <c r="D11" s="28">
        <v>79</v>
      </c>
      <c r="E11" s="28">
        <v>115.6</v>
      </c>
      <c r="F11" s="28">
        <v>84</v>
      </c>
    </row>
    <row r="12" spans="1:12" x14ac:dyDescent="0.2">
      <c r="A12" s="13" t="s">
        <v>107</v>
      </c>
      <c r="B12" s="17">
        <v>38515.5</v>
      </c>
      <c r="C12" s="17">
        <v>42177.2</v>
      </c>
      <c r="D12" s="17">
        <v>42651.7</v>
      </c>
      <c r="E12" s="17">
        <v>43571.3</v>
      </c>
      <c r="F12" s="17">
        <v>44873</v>
      </c>
      <c r="H12" s="29">
        <f>C11+C13+C30+C32</f>
        <v>324.00000000000006</v>
      </c>
      <c r="I12" s="29">
        <f t="shared" ref="I12:K12" si="0">D11+D13+D30+D32</f>
        <v>942.2</v>
      </c>
      <c r="J12" s="29">
        <f>E11+E13+E30+E32</f>
        <v>1138</v>
      </c>
      <c r="K12" s="29">
        <f t="shared" si="0"/>
        <v>59232</v>
      </c>
      <c r="L12" t="s">
        <v>354</v>
      </c>
    </row>
    <row r="13" spans="1:12" x14ac:dyDescent="0.2">
      <c r="A13" s="14" t="s">
        <v>108</v>
      </c>
      <c r="B13" s="15">
        <v>129.4</v>
      </c>
      <c r="C13" s="28">
        <v>311.3</v>
      </c>
      <c r="D13" s="28">
        <v>113.2</v>
      </c>
      <c r="E13" s="28">
        <v>1020.6</v>
      </c>
      <c r="F13" s="28">
        <v>541</v>
      </c>
      <c r="H13" s="31">
        <f>C23</f>
        <v>887.4</v>
      </c>
      <c r="I13" s="31">
        <f t="shared" ref="I13:K13" si="1">D23</f>
        <v>941.7</v>
      </c>
      <c r="J13" s="31">
        <f t="shared" si="1"/>
        <v>887.1</v>
      </c>
      <c r="K13" s="31">
        <f t="shared" si="1"/>
        <v>1039</v>
      </c>
      <c r="L13" t="s">
        <v>355</v>
      </c>
    </row>
    <row r="14" spans="1:12" x14ac:dyDescent="0.2">
      <c r="A14" s="13" t="s">
        <v>109</v>
      </c>
      <c r="B14" s="17">
        <v>38644.9</v>
      </c>
      <c r="C14" s="17">
        <v>42488.5</v>
      </c>
      <c r="D14" s="17">
        <v>42764.9</v>
      </c>
      <c r="E14" s="17">
        <v>44591.9</v>
      </c>
      <c r="F14" s="17">
        <v>45414</v>
      </c>
    </row>
    <row r="15" spans="1:12" x14ac:dyDescent="0.2">
      <c r="A15" s="3" t="s">
        <v>110</v>
      </c>
      <c r="B15" s="12"/>
      <c r="C15" s="12"/>
      <c r="D15" s="12"/>
      <c r="E15" s="12"/>
      <c r="F15" s="12"/>
    </row>
    <row r="16" spans="1:12" x14ac:dyDescent="0.2">
      <c r="A16" s="14" t="s">
        <v>111</v>
      </c>
      <c r="B16" s="15">
        <v>7</v>
      </c>
      <c r="C16" s="28">
        <v>7.8</v>
      </c>
      <c r="D16" s="28">
        <v>15.6</v>
      </c>
      <c r="E16" s="28">
        <v>1.7</v>
      </c>
      <c r="F16" s="28">
        <v>6</v>
      </c>
    </row>
    <row r="17" spans="1:12" x14ac:dyDescent="0.2">
      <c r="A17" s="14" t="s">
        <v>112</v>
      </c>
      <c r="B17" s="15">
        <v>1735.1</v>
      </c>
      <c r="C17" s="28">
        <v>1866.3</v>
      </c>
      <c r="D17" s="28">
        <v>2122.4</v>
      </c>
      <c r="E17" s="28">
        <v>2230.9</v>
      </c>
      <c r="F17" s="28">
        <v>2337</v>
      </c>
      <c r="H17" s="29">
        <f>C18+C19+C20+C22</f>
        <v>18920.7</v>
      </c>
      <c r="I17" s="29">
        <f t="shared" ref="I17:K17" si="2">D18+D19+D20+D22</f>
        <v>18165.400000000001</v>
      </c>
      <c r="J17" s="29">
        <f t="shared" si="2"/>
        <v>18232.699999999997</v>
      </c>
      <c r="K17" s="29">
        <f t="shared" si="2"/>
        <v>18313</v>
      </c>
      <c r="L17" t="s">
        <v>356</v>
      </c>
    </row>
    <row r="18" spans="1:12" x14ac:dyDescent="0.2">
      <c r="A18" s="14" t="s">
        <v>113</v>
      </c>
      <c r="B18" s="15">
        <v>9818.2000000000007</v>
      </c>
      <c r="C18" s="28">
        <v>10078.299999999999</v>
      </c>
      <c r="D18" s="28">
        <v>9810.4</v>
      </c>
      <c r="E18" s="28">
        <v>9439.1</v>
      </c>
      <c r="F18" s="28">
        <v>9418</v>
      </c>
    </row>
    <row r="19" spans="1:12" x14ac:dyDescent="0.2">
      <c r="A19" s="14" t="s">
        <v>114</v>
      </c>
      <c r="B19" s="15">
        <v>4198.8</v>
      </c>
      <c r="C19" s="28">
        <v>4002.1</v>
      </c>
      <c r="D19" s="28">
        <v>3672.6</v>
      </c>
      <c r="E19" s="28">
        <v>3696.2</v>
      </c>
      <c r="F19" s="28">
        <v>3851</v>
      </c>
      <c r="J19" s="29"/>
      <c r="K19" s="29"/>
    </row>
    <row r="20" spans="1:12" x14ac:dyDescent="0.2">
      <c r="A20" s="14" t="s">
        <v>115</v>
      </c>
      <c r="B20" s="15">
        <v>2915.5</v>
      </c>
      <c r="C20" s="28">
        <v>3899.1</v>
      </c>
      <c r="D20" s="28">
        <v>4117.7</v>
      </c>
      <c r="E20" s="28">
        <v>4597.3999999999996</v>
      </c>
      <c r="F20" s="28">
        <v>4501</v>
      </c>
    </row>
    <row r="21" spans="1:12" x14ac:dyDescent="0.2">
      <c r="A21" s="14" t="s">
        <v>116</v>
      </c>
      <c r="B21" s="15">
        <v>1971.1</v>
      </c>
      <c r="C21" s="28">
        <v>3678</v>
      </c>
      <c r="D21" s="28">
        <v>4280.6000000000004</v>
      </c>
      <c r="E21" s="28">
        <v>4092.3</v>
      </c>
      <c r="F21" s="28">
        <v>4175</v>
      </c>
    </row>
    <row r="22" spans="1:12" x14ac:dyDescent="0.2">
      <c r="A22" s="14" t="s">
        <v>117</v>
      </c>
      <c r="B22" s="15">
        <v>979.1</v>
      </c>
      <c r="C22" s="28">
        <v>941.2</v>
      </c>
      <c r="D22" s="28">
        <v>564.70000000000005</v>
      </c>
      <c r="E22" s="28">
        <v>500</v>
      </c>
      <c r="F22" s="28">
        <v>543</v>
      </c>
    </row>
    <row r="23" spans="1:12" x14ac:dyDescent="0.2">
      <c r="A23" s="14" t="s">
        <v>118</v>
      </c>
      <c r="B23" s="15">
        <v>854.6</v>
      </c>
      <c r="C23" s="28">
        <v>887.4</v>
      </c>
      <c r="D23" s="28">
        <v>941.7</v>
      </c>
      <c r="E23" s="28">
        <v>887.1</v>
      </c>
      <c r="F23" s="28">
        <v>1039</v>
      </c>
    </row>
    <row r="24" spans="1:12" ht="27" customHeight="1" x14ac:dyDescent="0.2">
      <c r="A24" s="13" t="s">
        <v>119</v>
      </c>
      <c r="B24" s="17">
        <v>22479.4</v>
      </c>
      <c r="C24" s="17">
        <v>25360.2</v>
      </c>
      <c r="D24" s="17">
        <v>25525.7</v>
      </c>
      <c r="E24" s="17">
        <v>25444.7</v>
      </c>
      <c r="F24" s="17">
        <v>25870</v>
      </c>
    </row>
    <row r="25" spans="1:12" ht="27" customHeight="1" x14ac:dyDescent="0.2">
      <c r="A25" s="13" t="s">
        <v>120</v>
      </c>
      <c r="B25" s="17">
        <v>16165.5</v>
      </c>
      <c r="C25" s="17">
        <v>17128.3</v>
      </c>
      <c r="D25" s="17">
        <v>17239.2</v>
      </c>
      <c r="E25" s="17">
        <v>19147.2</v>
      </c>
      <c r="F25" s="17">
        <v>19544</v>
      </c>
    </row>
    <row r="26" spans="1:12" x14ac:dyDescent="0.2">
      <c r="A26" s="14" t="s">
        <v>121</v>
      </c>
      <c r="B26" s="15">
        <v>20980.799999999999</v>
      </c>
      <c r="C26" s="28">
        <v>23354.3</v>
      </c>
      <c r="D26" s="28">
        <v>25765.5</v>
      </c>
      <c r="E26" s="28">
        <v>24543.4</v>
      </c>
      <c r="F26" s="28">
        <v>21495</v>
      </c>
    </row>
    <row r="27" spans="1:12" x14ac:dyDescent="0.2">
      <c r="A27" s="14" t="s">
        <v>122</v>
      </c>
      <c r="B27" s="15">
        <v>14656.9</v>
      </c>
      <c r="C27" s="28">
        <v>14258.4</v>
      </c>
      <c r="D27" s="28">
        <v>13871.5</v>
      </c>
      <c r="E27" s="28">
        <v>13393.7</v>
      </c>
      <c r="F27" s="28">
        <v>13175</v>
      </c>
    </row>
    <row r="28" spans="1:12" x14ac:dyDescent="0.2">
      <c r="A28" s="14" t="s">
        <v>123</v>
      </c>
      <c r="B28" s="15">
        <v>8927.4</v>
      </c>
      <c r="C28" s="28">
        <v>8791.2999999999993</v>
      </c>
      <c r="D28" s="28">
        <v>8762</v>
      </c>
      <c r="E28" s="28">
        <v>8579.5</v>
      </c>
      <c r="F28" s="28">
        <v>8933</v>
      </c>
    </row>
    <row r="29" spans="1:12" ht="27" customHeight="1" x14ac:dyDescent="0.2">
      <c r="A29" s="13" t="s">
        <v>124</v>
      </c>
      <c r="B29" s="17">
        <v>-28399.599999999999</v>
      </c>
      <c r="C29" s="17">
        <v>-29275.7</v>
      </c>
      <c r="D29" s="17">
        <v>-31159.8</v>
      </c>
      <c r="E29" s="17">
        <v>-27369.4</v>
      </c>
      <c r="F29" s="17">
        <v>-24059</v>
      </c>
    </row>
    <row r="30" spans="1:12" x14ac:dyDescent="0.2">
      <c r="A30" s="14" t="s">
        <v>125</v>
      </c>
      <c r="B30" s="15">
        <v>1.2</v>
      </c>
      <c r="C30" s="28">
        <v>0.5</v>
      </c>
      <c r="D30" s="28">
        <v>-5.5</v>
      </c>
      <c r="E30" s="28">
        <v>1.8</v>
      </c>
      <c r="F30" s="28">
        <v>0</v>
      </c>
    </row>
    <row r="31" spans="1:12" x14ac:dyDescent="0.2">
      <c r="A31" s="13" t="s">
        <v>126</v>
      </c>
      <c r="B31" s="17">
        <v>-28398.400000000001</v>
      </c>
      <c r="C31" s="17">
        <v>-29275.200000000001</v>
      </c>
      <c r="D31" s="17">
        <v>-31165.3</v>
      </c>
      <c r="E31" s="17">
        <v>-27367.599999999999</v>
      </c>
      <c r="F31" s="17">
        <v>-24059</v>
      </c>
    </row>
    <row r="32" spans="1:12" x14ac:dyDescent="0.2">
      <c r="A32" s="14" t="s">
        <v>127</v>
      </c>
      <c r="B32" s="15">
        <v>164.3</v>
      </c>
      <c r="C32" s="28">
        <v>-22.4</v>
      </c>
      <c r="D32" s="28">
        <v>755.5</v>
      </c>
      <c r="E32" s="28">
        <v>0</v>
      </c>
      <c r="F32" s="28">
        <v>58607</v>
      </c>
    </row>
    <row r="33" spans="1:12" x14ac:dyDescent="0.2">
      <c r="A33" s="13" t="s">
        <v>128</v>
      </c>
      <c r="B33" s="17">
        <v>-28234.1</v>
      </c>
      <c r="C33" s="17">
        <v>-29297.599999999999</v>
      </c>
      <c r="D33" s="17">
        <v>-30409.8</v>
      </c>
      <c r="E33" s="17">
        <v>-27367.599999999999</v>
      </c>
      <c r="F33" s="17">
        <v>34548</v>
      </c>
    </row>
    <row r="34" spans="1:12" x14ac:dyDescent="0.2">
      <c r="A34" s="13" t="s">
        <v>129</v>
      </c>
    </row>
    <row r="35" spans="1:12" x14ac:dyDescent="0.2">
      <c r="A35" s="14" t="s">
        <v>130</v>
      </c>
      <c r="B35" s="15">
        <v>17.3</v>
      </c>
      <c r="C35" s="28">
        <v>11.5</v>
      </c>
      <c r="D35" s="28">
        <v>828.5</v>
      </c>
      <c r="E35" s="28">
        <v>-2.7</v>
      </c>
      <c r="F35" s="28">
        <v>11</v>
      </c>
    </row>
    <row r="36" spans="1:12" x14ac:dyDescent="0.2">
      <c r="A36" s="14" t="s">
        <v>131</v>
      </c>
      <c r="B36" s="15">
        <v>-6</v>
      </c>
      <c r="C36" s="28">
        <v>-8</v>
      </c>
      <c r="D36" s="28">
        <v>0.1</v>
      </c>
      <c r="E36" s="28">
        <v>18.5</v>
      </c>
      <c r="F36" s="28">
        <v>-15</v>
      </c>
      <c r="H36" s="29">
        <f>C35+C36</f>
        <v>3.5</v>
      </c>
      <c r="I36" s="29">
        <f t="shared" ref="I36:K36" si="3">D35+D36</f>
        <v>828.6</v>
      </c>
      <c r="J36" s="29">
        <f t="shared" si="3"/>
        <v>15.8</v>
      </c>
      <c r="K36" s="29">
        <f t="shared" si="3"/>
        <v>-4</v>
      </c>
      <c r="L36" t="s">
        <v>357</v>
      </c>
    </row>
    <row r="37" spans="1:12" x14ac:dyDescent="0.2">
      <c r="A37" s="13" t="s">
        <v>132</v>
      </c>
      <c r="B37" s="18">
        <v>-28245.4</v>
      </c>
      <c r="C37" s="18">
        <v>-29301.1</v>
      </c>
      <c r="D37" s="18">
        <v>-31238.400000000001</v>
      </c>
      <c r="E37" s="18">
        <v>-27383.4</v>
      </c>
      <c r="F37" s="18">
        <v>34552</v>
      </c>
    </row>
    <row r="39" spans="1:12" x14ac:dyDescent="0.2">
      <c r="A39" s="3" t="s">
        <v>133</v>
      </c>
      <c r="B39" s="12"/>
      <c r="C39" s="12"/>
      <c r="D39" s="12"/>
      <c r="E39" s="12"/>
      <c r="F39" s="12"/>
    </row>
    <row r="40" spans="1:12" x14ac:dyDescent="0.2">
      <c r="A40" s="13" t="s">
        <v>134</v>
      </c>
    </row>
    <row r="41" spans="1:12" x14ac:dyDescent="0.2">
      <c r="A41" s="14" t="s">
        <v>135</v>
      </c>
      <c r="B41" s="15">
        <v>9</v>
      </c>
      <c r="C41" s="15">
        <v>11.5</v>
      </c>
      <c r="D41" s="15">
        <v>-9.4</v>
      </c>
      <c r="E41" s="15">
        <v>-17.2</v>
      </c>
      <c r="F41" s="15">
        <v>12</v>
      </c>
    </row>
    <row r="42" spans="1:12" x14ac:dyDescent="0.2">
      <c r="A42" s="14" t="s">
        <v>136</v>
      </c>
      <c r="B42" s="15">
        <v>-0.1</v>
      </c>
      <c r="C42" s="15">
        <v>-0.4</v>
      </c>
      <c r="D42" s="15" t="s">
        <v>55</v>
      </c>
      <c r="E42" s="15" t="s">
        <v>46</v>
      </c>
      <c r="F42" s="15" t="s">
        <v>46</v>
      </c>
    </row>
    <row r="43" spans="1:12" x14ac:dyDescent="0.2">
      <c r="A43" s="13" t="s">
        <v>137</v>
      </c>
      <c r="B43" s="17">
        <v>8.9</v>
      </c>
      <c r="C43" s="17">
        <v>11.1</v>
      </c>
      <c r="D43" s="17">
        <v>-9.4</v>
      </c>
      <c r="E43" s="17">
        <v>-17.2</v>
      </c>
      <c r="F43" s="17">
        <v>12</v>
      </c>
    </row>
    <row r="44" spans="1:12" x14ac:dyDescent="0.2">
      <c r="A44" s="13" t="s">
        <v>138</v>
      </c>
      <c r="B44" s="18">
        <v>-28236.5</v>
      </c>
      <c r="C44" s="18">
        <v>-29290</v>
      </c>
      <c r="D44" s="18">
        <v>-31247.8</v>
      </c>
      <c r="E44" s="18">
        <v>-27400.6</v>
      </c>
      <c r="F44" s="18">
        <v>34564</v>
      </c>
    </row>
    <row r="46" spans="1:12" x14ac:dyDescent="0.2">
      <c r="A46" s="13" t="s">
        <v>139</v>
      </c>
    </row>
    <row r="47" spans="1:12" x14ac:dyDescent="0.2">
      <c r="A47" s="14" t="s">
        <v>140</v>
      </c>
      <c r="B47" s="20">
        <v>-9.83</v>
      </c>
      <c r="C47" s="20">
        <v>-8.43</v>
      </c>
      <c r="D47" s="20">
        <v>-6.41</v>
      </c>
      <c r="E47" s="20">
        <v>-4.01</v>
      </c>
      <c r="F47" s="20">
        <v>3.21</v>
      </c>
    </row>
    <row r="48" spans="1:12" x14ac:dyDescent="0.2">
      <c r="A48" s="14" t="s">
        <v>141</v>
      </c>
      <c r="B48" s="20">
        <v>-9.83</v>
      </c>
      <c r="C48" s="20">
        <v>-8.43</v>
      </c>
      <c r="D48" s="20">
        <v>-6.41</v>
      </c>
      <c r="E48" s="20">
        <v>-4.01</v>
      </c>
      <c r="F48" s="20">
        <v>3.21</v>
      </c>
    </row>
    <row r="50" spans="1:1" x14ac:dyDescent="0.2">
      <c r="A50" s="9" t="s">
        <v>93</v>
      </c>
    </row>
    <row r="51" spans="1:1" x14ac:dyDescent="0.2">
      <c r="A51" s="9" t="s">
        <v>94</v>
      </c>
    </row>
    <row r="52" spans="1:1" x14ac:dyDescent="0.2">
      <c r="A52" s="9" t="s">
        <v>95</v>
      </c>
    </row>
    <row r="53" spans="1:1" x14ac:dyDescent="0.2">
      <c r="A53" s="9" t="s">
        <v>142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5"/>
  <sheetViews>
    <sheetView showGridLines="0" zoomScaleNormal="100" workbookViewId="0">
      <pane xSplit="1" ySplit="7" topLeftCell="B20" activePane="bottomRight" state="frozen"/>
      <selection pane="topRight" activeCell="B1" sqref="B1"/>
      <selection pane="bottomLeft" activeCell="A8" sqref="A8"/>
      <selection pane="bottomRight" activeCell="K40" sqref="K40"/>
    </sheetView>
  </sheetViews>
  <sheetFormatPr baseColWidth="10" defaultColWidth="8.6640625" defaultRowHeight="15" x14ac:dyDescent="0.2"/>
  <cols>
    <col min="1" max="1" width="78" customWidth="1"/>
    <col min="2" max="6" width="17" customWidth="1"/>
    <col min="8" max="11" width="9.1640625" bestFit="1" customWidth="1"/>
    <col min="12" max="12" width="22.5" bestFit="1" customWidth="1"/>
  </cols>
  <sheetData>
    <row r="1" spans="1:12" ht="16" x14ac:dyDescent="0.2">
      <c r="A1" s="4" t="s">
        <v>21</v>
      </c>
    </row>
    <row r="2" spans="1:12" x14ac:dyDescent="0.2">
      <c r="A2" s="5" t="s">
        <v>143</v>
      </c>
    </row>
    <row r="3" spans="1:12" x14ac:dyDescent="0.2">
      <c r="A3" s="6" t="s">
        <v>23</v>
      </c>
    </row>
    <row r="5" spans="1:12" ht="42" customHeight="1" x14ac:dyDescent="0.2">
      <c r="A5" s="7" t="s">
        <v>24</v>
      </c>
      <c r="B5" s="8" t="s">
        <v>98</v>
      </c>
      <c r="C5" s="8" t="s">
        <v>99</v>
      </c>
      <c r="D5" s="8" t="s">
        <v>100</v>
      </c>
      <c r="E5" s="8" t="s">
        <v>101</v>
      </c>
      <c r="F5" s="8" t="s">
        <v>102</v>
      </c>
    </row>
    <row r="6" spans="1:12" ht="25.5" customHeight="1" x14ac:dyDescent="0.2">
      <c r="A6" s="9" t="s">
        <v>30</v>
      </c>
      <c r="B6" s="10" t="s">
        <v>31</v>
      </c>
      <c r="C6" s="10" t="s">
        <v>32</v>
      </c>
      <c r="D6" s="10" t="s">
        <v>33</v>
      </c>
      <c r="E6" s="10" t="s">
        <v>34</v>
      </c>
      <c r="F6" s="10" t="s">
        <v>35</v>
      </c>
    </row>
    <row r="7" spans="1:12" x14ac:dyDescent="0.2">
      <c r="A7" s="9" t="s">
        <v>36</v>
      </c>
      <c r="B7" s="11" t="s">
        <v>37</v>
      </c>
      <c r="C7" s="11" t="s">
        <v>37</v>
      </c>
      <c r="D7" s="11" t="s">
        <v>37</v>
      </c>
      <c r="E7" s="11" t="s">
        <v>37</v>
      </c>
      <c r="F7" s="11" t="s">
        <v>38</v>
      </c>
    </row>
    <row r="8" spans="1:12" x14ac:dyDescent="0.2">
      <c r="A8" s="3" t="s">
        <v>144</v>
      </c>
      <c r="B8" s="12"/>
      <c r="C8" s="12"/>
      <c r="D8" s="12"/>
      <c r="E8" s="12"/>
      <c r="F8" s="12"/>
    </row>
    <row r="9" spans="1:12" x14ac:dyDescent="0.2">
      <c r="A9" s="14" t="s">
        <v>128</v>
      </c>
      <c r="B9" s="15">
        <v>-28234.1</v>
      </c>
      <c r="C9" s="28">
        <v>-29297.599999999999</v>
      </c>
      <c r="D9" s="28">
        <v>-30409.8</v>
      </c>
      <c r="E9" s="28">
        <v>-27367.599999999999</v>
      </c>
      <c r="F9" s="28">
        <v>34548</v>
      </c>
    </row>
    <row r="10" spans="1:12" x14ac:dyDescent="0.2">
      <c r="A10" s="13" t="s">
        <v>145</v>
      </c>
    </row>
    <row r="11" spans="1:12" x14ac:dyDescent="0.2">
      <c r="A11" s="14" t="s">
        <v>146</v>
      </c>
      <c r="B11" s="15">
        <v>-1.2</v>
      </c>
      <c r="C11" s="28">
        <v>-0.5</v>
      </c>
      <c r="D11" s="28">
        <v>5.5</v>
      </c>
      <c r="E11" s="28">
        <v>-1.8</v>
      </c>
      <c r="F11" s="28">
        <v>0</v>
      </c>
    </row>
    <row r="12" spans="1:12" x14ac:dyDescent="0.2">
      <c r="A12" s="14" t="s">
        <v>147</v>
      </c>
      <c r="B12" s="15">
        <v>14656.9</v>
      </c>
      <c r="C12" s="28">
        <v>14258.4</v>
      </c>
      <c r="D12" s="28">
        <v>13871.5</v>
      </c>
      <c r="E12" s="28">
        <v>13393.7</v>
      </c>
      <c r="F12" s="28">
        <v>13175</v>
      </c>
      <c r="H12" s="29">
        <f>C12+C13</f>
        <v>23049.699999999997</v>
      </c>
      <c r="I12" s="29">
        <f t="shared" ref="I12:K12" si="0">D12+D13</f>
        <v>22633.5</v>
      </c>
      <c r="J12" s="29">
        <f t="shared" si="0"/>
        <v>21973.200000000001</v>
      </c>
      <c r="K12" s="29">
        <f t="shared" si="0"/>
        <v>22108</v>
      </c>
      <c r="L12" t="s">
        <v>372</v>
      </c>
    </row>
    <row r="13" spans="1:12" x14ac:dyDescent="0.2">
      <c r="A13" s="14" t="s">
        <v>148</v>
      </c>
      <c r="B13" s="15">
        <v>8927.4</v>
      </c>
      <c r="C13" s="28">
        <v>8791.2999999999993</v>
      </c>
      <c r="D13" s="28">
        <v>8762</v>
      </c>
      <c r="E13" s="28">
        <v>8579.5</v>
      </c>
      <c r="F13" s="28">
        <v>8933</v>
      </c>
      <c r="H13" s="31">
        <f>SUM(C14:C27,C11)</f>
        <v>23144.2</v>
      </c>
      <c r="I13" s="31">
        <f t="shared" ref="I13:K13" si="1">SUM(D14:D27,D11)</f>
        <v>24989.500000000004</v>
      </c>
      <c r="J13" s="31">
        <f t="shared" si="1"/>
        <v>23465.1</v>
      </c>
      <c r="K13" s="31">
        <f t="shared" si="1"/>
        <v>-37607</v>
      </c>
      <c r="L13" t="s">
        <v>374</v>
      </c>
    </row>
    <row r="14" spans="1:12" x14ac:dyDescent="0.2">
      <c r="A14" s="14" t="s">
        <v>149</v>
      </c>
      <c r="B14" s="15">
        <v>-1.6</v>
      </c>
      <c r="C14" s="28">
        <v>0.2</v>
      </c>
      <c r="D14" s="28" t="s">
        <v>55</v>
      </c>
      <c r="E14" s="33"/>
      <c r="F14" s="33"/>
    </row>
    <row r="15" spans="1:12" x14ac:dyDescent="0.2">
      <c r="A15" s="14" t="s">
        <v>150</v>
      </c>
      <c r="B15" s="15">
        <v>-67.900000000000006</v>
      </c>
      <c r="C15" s="28">
        <v>-64.2</v>
      </c>
      <c r="D15" s="28">
        <v>-48.6</v>
      </c>
      <c r="E15" s="28">
        <v>-77.900000000000006</v>
      </c>
      <c r="F15" s="28">
        <v>-144</v>
      </c>
    </row>
    <row r="16" spans="1:12" x14ac:dyDescent="0.2">
      <c r="A16" s="14" t="s">
        <v>151</v>
      </c>
      <c r="B16" s="15">
        <v>-126.6</v>
      </c>
      <c r="C16" s="28">
        <v>22.4</v>
      </c>
      <c r="D16" s="28" t="s">
        <v>55</v>
      </c>
      <c r="E16" s="33"/>
      <c r="F16" s="33"/>
    </row>
    <row r="17" spans="1:12" x14ac:dyDescent="0.2">
      <c r="A17" s="14" t="s">
        <v>152</v>
      </c>
      <c r="B17" s="15">
        <v>13.7</v>
      </c>
      <c r="C17" s="28" t="s">
        <v>55</v>
      </c>
      <c r="D17" s="33"/>
      <c r="E17" s="33"/>
      <c r="F17" s="33"/>
    </row>
    <row r="18" spans="1:12" ht="27" customHeight="1" x14ac:dyDescent="0.2">
      <c r="A18" s="14" t="s">
        <v>153</v>
      </c>
      <c r="C18" s="33"/>
      <c r="D18" s="28">
        <v>-755.5</v>
      </c>
      <c r="E18" s="28" t="s">
        <v>55</v>
      </c>
      <c r="F18" s="33"/>
    </row>
    <row r="19" spans="1:12" x14ac:dyDescent="0.2">
      <c r="A19" s="14" t="s">
        <v>127</v>
      </c>
      <c r="C19" s="33"/>
      <c r="D19" s="33"/>
      <c r="E19" s="33"/>
      <c r="F19" s="28">
        <v>-58607</v>
      </c>
    </row>
    <row r="20" spans="1:12" x14ac:dyDescent="0.2">
      <c r="A20" s="14" t="s">
        <v>121</v>
      </c>
      <c r="B20" s="15">
        <v>20980.799999999999</v>
      </c>
      <c r="C20" s="28">
        <v>23354.3</v>
      </c>
      <c r="D20" s="28">
        <v>25765.5</v>
      </c>
      <c r="E20" s="28">
        <v>24543.4</v>
      </c>
      <c r="F20" s="28">
        <v>21495</v>
      </c>
    </row>
    <row r="21" spans="1:12" x14ac:dyDescent="0.2">
      <c r="A21" s="14" t="s">
        <v>154</v>
      </c>
      <c r="B21" s="15">
        <v>175.6</v>
      </c>
      <c r="C21" s="28">
        <v>117</v>
      </c>
      <c r="D21" s="28">
        <v>211.9</v>
      </c>
      <c r="E21" s="28">
        <v>152.80000000000001</v>
      </c>
      <c r="F21" s="28">
        <v>126</v>
      </c>
    </row>
    <row r="22" spans="1:12" x14ac:dyDescent="0.2">
      <c r="A22" s="14" t="s">
        <v>155</v>
      </c>
      <c r="B22" s="15">
        <v>47.9</v>
      </c>
      <c r="C22" s="28">
        <v>8.6</v>
      </c>
      <c r="D22" s="28">
        <v>-47.8</v>
      </c>
      <c r="E22" s="28">
        <v>-49.9</v>
      </c>
      <c r="F22" s="28">
        <v>108</v>
      </c>
    </row>
    <row r="23" spans="1:12" x14ac:dyDescent="0.2">
      <c r="A23" s="14" t="s">
        <v>156</v>
      </c>
      <c r="B23" s="15">
        <v>-7</v>
      </c>
      <c r="C23" s="28">
        <v>-17.5</v>
      </c>
      <c r="D23" s="28">
        <v>-74.3</v>
      </c>
      <c r="E23" s="28">
        <v>-110.7</v>
      </c>
      <c r="F23" s="28">
        <v>-44</v>
      </c>
    </row>
    <row r="24" spans="1:12" x14ac:dyDescent="0.2">
      <c r="A24" s="14" t="s">
        <v>157</v>
      </c>
      <c r="B24" s="15">
        <v>-105.7</v>
      </c>
      <c r="C24" s="28">
        <v>-276.10000000000002</v>
      </c>
      <c r="D24" s="33"/>
      <c r="E24" s="33"/>
      <c r="F24" s="33"/>
    </row>
    <row r="25" spans="1:12" x14ac:dyDescent="0.2">
      <c r="A25" s="14" t="s">
        <v>158</v>
      </c>
      <c r="C25" s="33"/>
      <c r="D25" s="28">
        <v>-43.3</v>
      </c>
      <c r="E25" s="28">
        <v>-970.3</v>
      </c>
      <c r="F25" s="28">
        <v>-506</v>
      </c>
    </row>
    <row r="26" spans="1:12" x14ac:dyDescent="0.2">
      <c r="A26" s="14" t="s">
        <v>159</v>
      </c>
      <c r="C26" s="33"/>
      <c r="D26" s="28">
        <v>-23.9</v>
      </c>
      <c r="E26" s="28">
        <v>-19.2</v>
      </c>
      <c r="F26" s="28">
        <v>-35</v>
      </c>
    </row>
    <row r="27" spans="1:12" x14ac:dyDescent="0.2">
      <c r="A27" s="14" t="s">
        <v>160</v>
      </c>
      <c r="C27" s="33"/>
      <c r="D27" s="33"/>
      <c r="E27" s="28">
        <v>-1.3</v>
      </c>
      <c r="F27" s="28" t="s">
        <v>55</v>
      </c>
    </row>
    <row r="28" spans="1:12" x14ac:dyDescent="0.2">
      <c r="A28" s="13" t="s">
        <v>161</v>
      </c>
    </row>
    <row r="29" spans="1:12" x14ac:dyDescent="0.2">
      <c r="A29" s="14" t="s">
        <v>162</v>
      </c>
      <c r="B29" s="15">
        <v>-38.299999999999997</v>
      </c>
      <c r="C29" s="28">
        <v>184.7</v>
      </c>
      <c r="D29" s="28">
        <v>-170.7</v>
      </c>
      <c r="E29" s="28">
        <v>103.5</v>
      </c>
      <c r="F29" s="28">
        <v>-162</v>
      </c>
      <c r="H29" s="31">
        <f>SUM(C29:C33)</f>
        <v>627.49999999999989</v>
      </c>
      <c r="I29" s="31">
        <f t="shared" ref="I29:K29" si="2">SUM(D29:D33)</f>
        <v>642.50000000000011</v>
      </c>
      <c r="J29" s="31">
        <f t="shared" si="2"/>
        <v>-9255.6</v>
      </c>
      <c r="K29" s="31">
        <f t="shared" si="2"/>
        <v>-47</v>
      </c>
      <c r="L29" t="s">
        <v>373</v>
      </c>
    </row>
    <row r="30" spans="1:12" x14ac:dyDescent="0.2">
      <c r="A30" s="14" t="s">
        <v>163</v>
      </c>
      <c r="B30" s="15">
        <v>-1.7</v>
      </c>
      <c r="C30" s="28">
        <v>-14</v>
      </c>
      <c r="D30" s="28">
        <v>15.1</v>
      </c>
      <c r="E30" s="28">
        <v>0.1</v>
      </c>
      <c r="F30" s="28">
        <v>-20</v>
      </c>
    </row>
    <row r="31" spans="1:12" x14ac:dyDescent="0.2">
      <c r="A31" s="14" t="s">
        <v>164</v>
      </c>
      <c r="B31" s="15">
        <v>-3005.1</v>
      </c>
      <c r="C31" s="28">
        <v>1062.5999999999999</v>
      </c>
      <c r="D31" s="28">
        <v>1117.4000000000001</v>
      </c>
      <c r="E31" s="28">
        <v>-5081.8</v>
      </c>
      <c r="F31" s="28">
        <v>1847</v>
      </c>
    </row>
    <row r="32" spans="1:12" x14ac:dyDescent="0.2">
      <c r="A32" s="14" t="s">
        <v>165</v>
      </c>
      <c r="B32" s="15">
        <v>-343.2</v>
      </c>
      <c r="C32" s="28">
        <v>-247.7</v>
      </c>
      <c r="D32" s="28">
        <v>-1012.8</v>
      </c>
      <c r="E32" s="28">
        <v>-3440</v>
      </c>
      <c r="F32" s="28">
        <v>-979</v>
      </c>
      <c r="I32" s="34">
        <f>C34-'[1]Financial Statements'!C123</f>
        <v>-1344.8999999999978</v>
      </c>
      <c r="J32" s="34">
        <f>D34-'[1]Financial Statements'!D123</f>
        <v>-2970.4000000000051</v>
      </c>
      <c r="K32" s="34">
        <f>E34-'[1]Financial Statements'!E123</f>
        <v>-475.79999999999927</v>
      </c>
      <c r="L32" s="34">
        <f>F34-'[1]Financial Statements'!F123</f>
        <v>-409</v>
      </c>
    </row>
    <row r="33" spans="1:12" x14ac:dyDescent="0.2">
      <c r="A33" s="14" t="s">
        <v>166</v>
      </c>
      <c r="B33" s="15">
        <v>3047.6</v>
      </c>
      <c r="C33" s="28">
        <v>-358.1</v>
      </c>
      <c r="D33" s="28">
        <v>693.5</v>
      </c>
      <c r="E33" s="28">
        <v>-837.4</v>
      </c>
      <c r="F33" s="28">
        <v>-733</v>
      </c>
    </row>
    <row r="34" spans="1:12" x14ac:dyDescent="0.2">
      <c r="A34" s="13" t="s">
        <v>167</v>
      </c>
      <c r="B34" s="17">
        <v>15917.5</v>
      </c>
      <c r="C34" s="17">
        <v>17523.8</v>
      </c>
      <c r="D34" s="17">
        <v>17855.7</v>
      </c>
      <c r="E34" s="17">
        <v>8815.1</v>
      </c>
      <c r="F34" s="17">
        <v>19002</v>
      </c>
    </row>
    <row r="35" spans="1:12" x14ac:dyDescent="0.2">
      <c r="A35" s="14" t="s">
        <v>168</v>
      </c>
      <c r="B35" s="15">
        <v>1469.5</v>
      </c>
      <c r="C35" s="15">
        <v>1344.9</v>
      </c>
      <c r="D35" s="15">
        <v>2970.4</v>
      </c>
      <c r="E35" s="15">
        <v>475.5</v>
      </c>
      <c r="F35" s="15">
        <v>409</v>
      </c>
      <c r="H35" s="31">
        <f>C35</f>
        <v>1344.9</v>
      </c>
      <c r="I35" s="31">
        <f t="shared" ref="I35:K35" si="3">D35</f>
        <v>2970.4</v>
      </c>
      <c r="J35" s="31">
        <f t="shared" si="3"/>
        <v>475.5</v>
      </c>
      <c r="K35" s="31">
        <f t="shared" si="3"/>
        <v>409</v>
      </c>
    </row>
    <row r="36" spans="1:12" x14ac:dyDescent="0.2">
      <c r="A36" s="13" t="s">
        <v>169</v>
      </c>
      <c r="B36" s="17">
        <v>17387</v>
      </c>
      <c r="C36" s="17">
        <v>18868.7</v>
      </c>
      <c r="D36" s="17">
        <v>20826.099999999999</v>
      </c>
      <c r="E36" s="17">
        <v>9290.6</v>
      </c>
      <c r="F36" s="17">
        <v>19411</v>
      </c>
    </row>
    <row r="38" spans="1:12" x14ac:dyDescent="0.2">
      <c r="A38" s="3" t="s">
        <v>170</v>
      </c>
      <c r="B38" s="12"/>
      <c r="C38" s="12"/>
      <c r="D38" s="12"/>
      <c r="E38" s="12"/>
      <c r="F38" s="12"/>
    </row>
    <row r="39" spans="1:12" ht="27" customHeight="1" x14ac:dyDescent="0.2">
      <c r="A39" s="14" t="s">
        <v>171</v>
      </c>
      <c r="B39" s="15">
        <v>-6008.9</v>
      </c>
      <c r="C39" s="28">
        <v>-3942.2</v>
      </c>
      <c r="D39" s="28">
        <v>-1613.9</v>
      </c>
      <c r="E39" s="28">
        <v>-10005</v>
      </c>
      <c r="F39" s="28">
        <v>-10979</v>
      </c>
      <c r="H39" s="29">
        <f>C39+C40</f>
        <v>-5622.2</v>
      </c>
      <c r="I39" s="29">
        <f t="shared" ref="I39:K39" si="4">D39+D40</f>
        <v>-1613.9</v>
      </c>
      <c r="J39" s="29">
        <f t="shared" si="4"/>
        <v>-10336.5</v>
      </c>
      <c r="K39" s="29">
        <f t="shared" si="4"/>
        <v>-10979</v>
      </c>
      <c r="L39" t="s">
        <v>375</v>
      </c>
    </row>
    <row r="40" spans="1:12" x14ac:dyDescent="0.2">
      <c r="A40" s="14" t="s">
        <v>172</v>
      </c>
      <c r="B40" s="15">
        <v>-103.5</v>
      </c>
      <c r="C40" s="28">
        <v>-1680</v>
      </c>
      <c r="D40" s="28">
        <v>0</v>
      </c>
      <c r="E40" s="28">
        <v>-331.5</v>
      </c>
      <c r="F40" s="28">
        <v>0</v>
      </c>
      <c r="H40">
        <f>SUM(C41:C49)</f>
        <v>208.60000000000002</v>
      </c>
      <c r="I40">
        <f t="shared" ref="I40:K40" si="5">SUM(D41:D49)</f>
        <v>-292.90000000000003</v>
      </c>
      <c r="J40">
        <f t="shared" si="5"/>
        <v>-5911.7999999999993</v>
      </c>
      <c r="K40">
        <f t="shared" si="5"/>
        <v>4875</v>
      </c>
      <c r="L40" t="s">
        <v>376</v>
      </c>
    </row>
    <row r="41" spans="1:12" x14ac:dyDescent="0.2">
      <c r="A41" s="14" t="s">
        <v>173</v>
      </c>
      <c r="C41" s="33"/>
      <c r="D41" s="28">
        <v>-448.3</v>
      </c>
      <c r="E41" s="28">
        <v>-503.7</v>
      </c>
      <c r="F41" s="28">
        <v>-589</v>
      </c>
    </row>
    <row r="42" spans="1:12" x14ac:dyDescent="0.2">
      <c r="A42" s="14" t="s">
        <v>174</v>
      </c>
      <c r="B42" s="15">
        <v>120.7</v>
      </c>
      <c r="C42" s="28">
        <v>85.7</v>
      </c>
      <c r="D42" s="28">
        <v>84</v>
      </c>
      <c r="E42" s="28">
        <v>114.7</v>
      </c>
      <c r="F42" s="28">
        <v>165</v>
      </c>
    </row>
    <row r="43" spans="1:12" ht="27" customHeight="1" x14ac:dyDescent="0.2">
      <c r="A43" s="14" t="s">
        <v>175</v>
      </c>
      <c r="B43" s="15">
        <v>187</v>
      </c>
      <c r="C43" s="28">
        <v>0</v>
      </c>
      <c r="D43" s="33"/>
      <c r="E43" s="28">
        <v>55</v>
      </c>
      <c r="F43" s="28">
        <v>0</v>
      </c>
    </row>
    <row r="44" spans="1:12" x14ac:dyDescent="0.2">
      <c r="A44" s="14" t="s">
        <v>176</v>
      </c>
      <c r="C44" s="33"/>
      <c r="D44" s="33"/>
      <c r="E44" s="28">
        <v>3.4</v>
      </c>
      <c r="F44" s="28">
        <v>0</v>
      </c>
    </row>
    <row r="45" spans="1:12" x14ac:dyDescent="0.2">
      <c r="A45" s="14" t="s">
        <v>177</v>
      </c>
      <c r="C45" s="33"/>
      <c r="D45" s="33"/>
      <c r="E45" s="33"/>
      <c r="F45" s="28">
        <v>0</v>
      </c>
    </row>
    <row r="46" spans="1:12" x14ac:dyDescent="0.2">
      <c r="A46" s="14" t="s">
        <v>178</v>
      </c>
      <c r="B46" s="15">
        <v>0.8</v>
      </c>
      <c r="C46" s="28">
        <v>0</v>
      </c>
      <c r="D46" s="33"/>
      <c r="E46" s="33"/>
      <c r="F46" s="33"/>
    </row>
    <row r="47" spans="1:12" x14ac:dyDescent="0.2">
      <c r="A47" s="14" t="s">
        <v>179</v>
      </c>
      <c r="B47" s="15">
        <v>18</v>
      </c>
      <c r="C47" s="28">
        <v>29</v>
      </c>
      <c r="D47" s="28">
        <v>23.7</v>
      </c>
      <c r="E47" s="28">
        <v>19.399999999999999</v>
      </c>
      <c r="F47" s="28">
        <v>-72</v>
      </c>
    </row>
    <row r="48" spans="1:12" x14ac:dyDescent="0.2">
      <c r="A48" s="14" t="s">
        <v>180</v>
      </c>
      <c r="B48" s="15">
        <v>58.6</v>
      </c>
      <c r="C48" s="28">
        <v>94.1</v>
      </c>
      <c r="D48" s="28">
        <v>42.2</v>
      </c>
      <c r="E48" s="28">
        <v>452.3</v>
      </c>
      <c r="F48" s="28">
        <v>820</v>
      </c>
    </row>
    <row r="49" spans="1:12" ht="27" customHeight="1" x14ac:dyDescent="0.2">
      <c r="A49" s="14" t="s">
        <v>181</v>
      </c>
      <c r="B49" s="15">
        <v>-3</v>
      </c>
      <c r="C49" s="28">
        <v>-0.2</v>
      </c>
      <c r="D49" s="28">
        <v>5.5</v>
      </c>
      <c r="E49" s="28">
        <v>-6052.9</v>
      </c>
      <c r="F49" s="28">
        <v>4551</v>
      </c>
    </row>
    <row r="50" spans="1:12" x14ac:dyDescent="0.2">
      <c r="A50" s="13" t="s">
        <v>182</v>
      </c>
      <c r="B50" s="17">
        <v>-5730.3</v>
      </c>
      <c r="C50" s="17">
        <v>-5413.6</v>
      </c>
      <c r="D50" s="17">
        <v>-1906.8</v>
      </c>
      <c r="E50" s="17">
        <v>-16248.3</v>
      </c>
      <c r="F50" s="17">
        <v>-6104</v>
      </c>
    </row>
    <row r="52" spans="1:12" x14ac:dyDescent="0.2">
      <c r="A52" s="3" t="s">
        <v>183</v>
      </c>
      <c r="B52" s="12"/>
      <c r="C52" s="12"/>
      <c r="D52" s="12"/>
      <c r="E52" s="12"/>
      <c r="F52" s="12"/>
    </row>
    <row r="53" spans="1:12" x14ac:dyDescent="0.2">
      <c r="A53" s="14" t="s">
        <v>184</v>
      </c>
      <c r="C53" s="33"/>
      <c r="D53" s="33"/>
      <c r="E53" s="28">
        <v>17695.900000000001</v>
      </c>
      <c r="F53" s="28">
        <v>0</v>
      </c>
    </row>
    <row r="54" spans="1:12" ht="27" customHeight="1" x14ac:dyDescent="0.2">
      <c r="A54" s="14" t="s">
        <v>185</v>
      </c>
      <c r="B54" s="15">
        <v>4499.7</v>
      </c>
      <c r="C54" s="28">
        <v>0</v>
      </c>
      <c r="D54" s="33"/>
      <c r="E54" s="28">
        <v>6441.2</v>
      </c>
      <c r="F54" s="28">
        <v>0</v>
      </c>
    </row>
    <row r="55" spans="1:12" ht="27" customHeight="1" x14ac:dyDescent="0.2">
      <c r="A55" s="14" t="s">
        <v>186</v>
      </c>
      <c r="B55" s="15">
        <v>0</v>
      </c>
      <c r="C55" s="28">
        <v>432</v>
      </c>
      <c r="D55" s="28">
        <v>0</v>
      </c>
      <c r="E55" s="33"/>
      <c r="F55" s="28">
        <v>0</v>
      </c>
    </row>
    <row r="56" spans="1:12" x14ac:dyDescent="0.2">
      <c r="A56" s="14" t="s">
        <v>187</v>
      </c>
      <c r="C56" s="33"/>
      <c r="D56" s="28">
        <v>0.1</v>
      </c>
      <c r="E56" s="28">
        <v>0.1</v>
      </c>
      <c r="F56" s="28">
        <v>0</v>
      </c>
    </row>
    <row r="57" spans="1:12" x14ac:dyDescent="0.2">
      <c r="A57" s="14" t="s">
        <v>188</v>
      </c>
      <c r="C57" s="33"/>
      <c r="D57" s="33"/>
      <c r="E57" s="33"/>
      <c r="F57" s="28">
        <v>-2</v>
      </c>
      <c r="H57" s="29">
        <f>C60+C61+C63+C64+C65+C58+C62</f>
        <v>-15111.5</v>
      </c>
      <c r="I57" s="29">
        <f t="shared" ref="I57:K57" si="6">D60+D61+D63+D64+D65+D58+D62</f>
        <v>-18980.399999999998</v>
      </c>
      <c r="J57" s="29">
        <f t="shared" si="6"/>
        <v>-17090.5</v>
      </c>
      <c r="K57" s="29">
        <f t="shared" si="6"/>
        <v>-14727</v>
      </c>
      <c r="L57" t="s">
        <v>377</v>
      </c>
    </row>
    <row r="58" spans="1:12" x14ac:dyDescent="0.2">
      <c r="A58" s="14" t="s">
        <v>189</v>
      </c>
      <c r="B58" s="15">
        <v>-2799.7</v>
      </c>
      <c r="C58" s="28">
        <v>-2094</v>
      </c>
      <c r="D58" s="28">
        <v>-2867.8</v>
      </c>
      <c r="E58" s="28">
        <v>-2090.1999999999998</v>
      </c>
      <c r="F58" s="28">
        <v>-2780</v>
      </c>
      <c r="H58" s="29">
        <f>C59+C57+C55+C54+C53</f>
        <v>432</v>
      </c>
      <c r="I58" s="29">
        <f t="shared" ref="I58:K58" si="7">D59+D57+D55+D54+D53</f>
        <v>0</v>
      </c>
      <c r="J58" s="29">
        <f t="shared" si="7"/>
        <v>24137.100000000002</v>
      </c>
      <c r="K58" s="29">
        <f t="shared" si="7"/>
        <v>3269</v>
      </c>
    </row>
    <row r="59" spans="1:12" x14ac:dyDescent="0.2">
      <c r="A59" s="14" t="s">
        <v>190</v>
      </c>
      <c r="C59" s="33"/>
      <c r="D59" s="33"/>
      <c r="E59" s="33"/>
      <c r="F59" s="28">
        <v>3271</v>
      </c>
      <c r="H59">
        <f>C56</f>
        <v>0</v>
      </c>
      <c r="I59">
        <f t="shared" ref="I59:K59" si="8">D56</f>
        <v>0.1</v>
      </c>
      <c r="J59">
        <f t="shared" si="8"/>
        <v>0.1</v>
      </c>
      <c r="K59">
        <f t="shared" si="8"/>
        <v>0</v>
      </c>
    </row>
    <row r="60" spans="1:12" x14ac:dyDescent="0.2">
      <c r="A60" s="14" t="s">
        <v>191</v>
      </c>
      <c r="B60" s="15">
        <v>500</v>
      </c>
      <c r="C60" s="28">
        <v>1600</v>
      </c>
      <c r="D60" s="28">
        <v>0</v>
      </c>
      <c r="E60" s="33"/>
      <c r="F60" s="33"/>
    </row>
    <row r="61" spans="1:12" x14ac:dyDescent="0.2">
      <c r="A61" s="14" t="s">
        <v>192</v>
      </c>
      <c r="B61" s="15">
        <v>-8064.1</v>
      </c>
      <c r="C61" s="28">
        <v>-5946</v>
      </c>
      <c r="D61" s="28">
        <v>-5916.4</v>
      </c>
      <c r="E61" s="28">
        <v>-1711.4</v>
      </c>
      <c r="F61" s="28">
        <v>-1600</v>
      </c>
    </row>
    <row r="62" spans="1:12" x14ac:dyDescent="0.2">
      <c r="A62" s="14" t="s">
        <v>193</v>
      </c>
      <c r="F62" s="28">
        <v>-124</v>
      </c>
    </row>
    <row r="63" spans="1:12" x14ac:dyDescent="0.2">
      <c r="A63" s="14" t="s">
        <v>194</v>
      </c>
      <c r="B63" s="15">
        <v>2250</v>
      </c>
      <c r="C63" s="28">
        <v>1982.4</v>
      </c>
      <c r="D63" s="28">
        <v>2000</v>
      </c>
      <c r="E63" s="28">
        <v>1000</v>
      </c>
      <c r="F63" s="28">
        <v>0</v>
      </c>
    </row>
    <row r="64" spans="1:12" x14ac:dyDescent="0.2">
      <c r="A64" s="14" t="s">
        <v>195</v>
      </c>
      <c r="B64" s="15" t="s">
        <v>55</v>
      </c>
      <c r="C64" s="28">
        <v>-2750</v>
      </c>
      <c r="D64" s="28">
        <v>-3482.4</v>
      </c>
      <c r="E64" s="28">
        <v>-1000</v>
      </c>
      <c r="F64" s="28">
        <v>0</v>
      </c>
    </row>
    <row r="65" spans="1:6" x14ac:dyDescent="0.2">
      <c r="A65" s="14" t="s">
        <v>196</v>
      </c>
      <c r="B65" s="15">
        <v>-6939.7</v>
      </c>
      <c r="C65" s="28">
        <v>-7903.9</v>
      </c>
      <c r="D65" s="28">
        <v>-8713.7999999999993</v>
      </c>
      <c r="E65" s="28">
        <v>-13288.9</v>
      </c>
      <c r="F65" s="28">
        <v>-10223</v>
      </c>
    </row>
    <row r="66" spans="1:6" x14ac:dyDescent="0.2">
      <c r="A66" s="13" t="s">
        <v>197</v>
      </c>
      <c r="B66" s="17">
        <v>-10553.8</v>
      </c>
      <c r="C66" s="17">
        <v>-14679.5</v>
      </c>
      <c r="D66" s="17">
        <v>-18980.3</v>
      </c>
      <c r="E66" s="17">
        <v>7046.7</v>
      </c>
      <c r="F66" s="17">
        <v>-11458</v>
      </c>
    </row>
    <row r="68" spans="1:6" x14ac:dyDescent="0.2">
      <c r="A68" s="13" t="s">
        <v>198</v>
      </c>
      <c r="B68" s="17">
        <v>1102.9000000000001</v>
      </c>
      <c r="C68" s="17">
        <v>-1224.4000000000001</v>
      </c>
      <c r="D68" s="17">
        <v>-61</v>
      </c>
      <c r="E68" s="17">
        <v>89</v>
      </c>
      <c r="F68" s="17">
        <v>1849</v>
      </c>
    </row>
    <row r="69" spans="1:6" x14ac:dyDescent="0.2">
      <c r="A69" s="14" t="s">
        <v>199</v>
      </c>
      <c r="B69" s="15">
        <v>350.3</v>
      </c>
      <c r="C69" s="15">
        <v>1453.2</v>
      </c>
      <c r="D69" s="15">
        <v>228.8</v>
      </c>
      <c r="E69" s="15">
        <v>167.8</v>
      </c>
      <c r="F69" s="15">
        <v>257</v>
      </c>
    </row>
    <row r="70" spans="1:6" x14ac:dyDescent="0.2">
      <c r="A70" s="13" t="s">
        <v>200</v>
      </c>
      <c r="B70" s="18">
        <v>1453.2</v>
      </c>
      <c r="C70" s="18">
        <v>228.8</v>
      </c>
      <c r="D70" s="18">
        <v>167.8</v>
      </c>
      <c r="E70" s="18">
        <v>256.8</v>
      </c>
      <c r="F70" s="18">
        <v>2106</v>
      </c>
    </row>
    <row r="72" spans="1:6" x14ac:dyDescent="0.2">
      <c r="A72" s="9" t="s">
        <v>93</v>
      </c>
    </row>
    <row r="73" spans="1:6" x14ac:dyDescent="0.2">
      <c r="A73" s="9" t="s">
        <v>94</v>
      </c>
    </row>
    <row r="74" spans="1:6" x14ac:dyDescent="0.2">
      <c r="A74" s="9" t="s">
        <v>95</v>
      </c>
    </row>
    <row r="75" spans="1:6" x14ac:dyDescent="0.2">
      <c r="A75" s="9" t="s">
        <v>201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70" customWidth="1"/>
    <col min="2" max="11" width="19" customWidth="1"/>
  </cols>
  <sheetData>
    <row r="1" spans="1:4" ht="16" x14ac:dyDescent="0.2">
      <c r="A1" s="4" t="s">
        <v>21</v>
      </c>
    </row>
    <row r="2" spans="1:4" x14ac:dyDescent="0.2">
      <c r="A2" s="5" t="s">
        <v>202</v>
      </c>
    </row>
    <row r="3" spans="1:4" x14ac:dyDescent="0.2">
      <c r="A3" s="6" t="s">
        <v>203</v>
      </c>
    </row>
    <row r="5" spans="1:4" x14ac:dyDescent="0.2">
      <c r="A5" s="5" t="s">
        <v>204</v>
      </c>
    </row>
    <row r="6" spans="1:4" ht="27.75" customHeight="1" x14ac:dyDescent="0.2">
      <c r="A6" s="7" t="s">
        <v>24</v>
      </c>
      <c r="B6" s="8" t="s">
        <v>205</v>
      </c>
      <c r="C6" s="8" t="s">
        <v>206</v>
      </c>
      <c r="D6" s="8" t="s">
        <v>30</v>
      </c>
    </row>
    <row r="7" spans="1:4" x14ac:dyDescent="0.2">
      <c r="A7" s="13" t="s">
        <v>207</v>
      </c>
      <c r="B7" s="21">
        <v>28735389240</v>
      </c>
      <c r="C7" s="17">
        <v>28735.4</v>
      </c>
      <c r="D7" s="9" t="s">
        <v>32</v>
      </c>
    </row>
    <row r="8" spans="1:4" x14ac:dyDescent="0.2">
      <c r="A8" s="14" t="s">
        <v>208</v>
      </c>
      <c r="B8" s="22">
        <v>3383458645</v>
      </c>
      <c r="C8" s="15">
        <v>3383.4</v>
      </c>
      <c r="D8" s="9" t="s">
        <v>32</v>
      </c>
    </row>
    <row r="9" spans="1:4" x14ac:dyDescent="0.2">
      <c r="A9" s="13" t="s">
        <v>209</v>
      </c>
      <c r="B9" s="21">
        <v>32118847885</v>
      </c>
      <c r="C9" s="17">
        <v>32118.799999999999</v>
      </c>
      <c r="D9" s="9" t="s">
        <v>32</v>
      </c>
    </row>
    <row r="10" spans="1:4" x14ac:dyDescent="0.2">
      <c r="A10" s="14" t="s">
        <v>210</v>
      </c>
      <c r="B10" s="22">
        <v>16560841320</v>
      </c>
      <c r="C10" s="15">
        <v>16560.900000000001</v>
      </c>
      <c r="D10" s="9" t="s">
        <v>32</v>
      </c>
    </row>
    <row r="11" spans="1:4" x14ac:dyDescent="0.2">
      <c r="A11" s="13" t="s">
        <v>211</v>
      </c>
      <c r="B11" s="21">
        <v>48679689205</v>
      </c>
      <c r="C11" s="17">
        <v>48679.7</v>
      </c>
      <c r="D11" s="9" t="s">
        <v>32</v>
      </c>
    </row>
    <row r="12" spans="1:4" x14ac:dyDescent="0.2">
      <c r="A12" s="14" t="s">
        <v>212</v>
      </c>
      <c r="B12" s="22">
        <v>1440000000</v>
      </c>
      <c r="C12" s="15">
        <v>1440</v>
      </c>
      <c r="D12" s="9" t="s">
        <v>33</v>
      </c>
    </row>
    <row r="13" spans="1:4" x14ac:dyDescent="0.2">
      <c r="A13" s="14" t="s">
        <v>213</v>
      </c>
      <c r="B13" s="22">
        <v>131170</v>
      </c>
      <c r="C13" s="15">
        <v>0.1</v>
      </c>
      <c r="D13" s="9" t="s">
        <v>33</v>
      </c>
    </row>
    <row r="14" spans="1:4" x14ac:dyDescent="0.2">
      <c r="A14" s="13" t="s">
        <v>214</v>
      </c>
      <c r="B14" s="21">
        <v>50119820375</v>
      </c>
      <c r="C14" s="17">
        <v>50119.8</v>
      </c>
      <c r="D14" s="9" t="s">
        <v>33</v>
      </c>
    </row>
    <row r="15" spans="1:4" x14ac:dyDescent="0.2">
      <c r="A15" s="14" t="s">
        <v>215</v>
      </c>
      <c r="B15" s="22">
        <v>16363636363</v>
      </c>
      <c r="C15" s="15">
        <v>16363.6</v>
      </c>
      <c r="D15" s="9" t="s">
        <v>34</v>
      </c>
    </row>
    <row r="16" spans="1:4" x14ac:dyDescent="0.2">
      <c r="A16" s="14" t="s">
        <v>216</v>
      </c>
      <c r="B16" s="22">
        <v>160000000</v>
      </c>
      <c r="C16" s="15">
        <v>160</v>
      </c>
      <c r="D16" s="9" t="s">
        <v>34</v>
      </c>
    </row>
    <row r="17" spans="1:11" x14ac:dyDescent="0.2">
      <c r="A17" s="14" t="s">
        <v>213</v>
      </c>
      <c r="B17" s="22">
        <v>122064</v>
      </c>
      <c r="C17" s="15">
        <v>0.1</v>
      </c>
      <c r="D17" s="9" t="s">
        <v>34</v>
      </c>
    </row>
    <row r="18" spans="1:11" x14ac:dyDescent="0.2">
      <c r="A18" s="14" t="s">
        <v>217</v>
      </c>
      <c r="B18" s="22">
        <v>4749456199</v>
      </c>
      <c r="C18" s="15">
        <v>4749.5</v>
      </c>
      <c r="D18" s="9" t="s">
        <v>34</v>
      </c>
    </row>
    <row r="19" spans="1:11" x14ac:dyDescent="0.2">
      <c r="A19" s="13" t="s">
        <v>218</v>
      </c>
      <c r="B19" s="21">
        <v>71393035001</v>
      </c>
      <c r="C19" s="17">
        <v>71393</v>
      </c>
      <c r="D19" s="9" t="s">
        <v>34</v>
      </c>
    </row>
    <row r="20" spans="1:11" x14ac:dyDescent="0.2">
      <c r="A20" s="14" t="s">
        <v>219</v>
      </c>
      <c r="B20" s="22">
        <v>36950000000</v>
      </c>
      <c r="C20" s="15">
        <v>36950</v>
      </c>
      <c r="D20" s="9" t="s">
        <v>35</v>
      </c>
    </row>
    <row r="21" spans="1:11" x14ac:dyDescent="0.2">
      <c r="A21" s="13" t="s">
        <v>220</v>
      </c>
      <c r="B21" s="23">
        <v>108343035001</v>
      </c>
      <c r="C21" s="18">
        <v>108343</v>
      </c>
      <c r="D21" s="9" t="s">
        <v>35</v>
      </c>
    </row>
    <row r="23" spans="1:11" x14ac:dyDescent="0.2">
      <c r="A23" s="5" t="s">
        <v>221</v>
      </c>
    </row>
    <row r="24" spans="1:11" x14ac:dyDescent="0.2">
      <c r="B24" s="24" t="s">
        <v>222</v>
      </c>
    </row>
    <row r="25" spans="1:11" ht="55.5" customHeight="1" x14ac:dyDescent="0.2">
      <c r="A25" s="7" t="s">
        <v>24</v>
      </c>
      <c r="B25" s="8" t="s">
        <v>223</v>
      </c>
      <c r="C25" s="8" t="s">
        <v>224</v>
      </c>
      <c r="D25" s="8" t="s">
        <v>225</v>
      </c>
      <c r="E25" s="8" t="s">
        <v>226</v>
      </c>
      <c r="F25" s="8" t="s">
        <v>227</v>
      </c>
      <c r="G25" s="8" t="s">
        <v>228</v>
      </c>
      <c r="H25" s="8" t="s">
        <v>229</v>
      </c>
      <c r="I25" s="8" t="s">
        <v>230</v>
      </c>
      <c r="J25" s="8" t="s">
        <v>231</v>
      </c>
      <c r="K25" s="8" t="s">
        <v>232</v>
      </c>
    </row>
    <row r="26" spans="1:11" x14ac:dyDescent="0.2">
      <c r="A26" s="3" t="s">
        <v>233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1:11" x14ac:dyDescent="0.2">
      <c r="A27" s="13" t="s">
        <v>207</v>
      </c>
      <c r="B27" s="17">
        <v>-8846</v>
      </c>
      <c r="C27" s="17">
        <v>27778.7</v>
      </c>
      <c r="D27" s="17">
        <v>440.8</v>
      </c>
      <c r="E27" s="17">
        <v>108469.8</v>
      </c>
      <c r="F27" s="17">
        <v>-48844.4</v>
      </c>
      <c r="G27" s="17">
        <v>156.19999999999999</v>
      </c>
      <c r="H27" s="17">
        <v>-146154.6</v>
      </c>
      <c r="I27" s="17">
        <v>36.1</v>
      </c>
      <c r="J27" s="17" t="s">
        <v>55</v>
      </c>
      <c r="K27" s="17">
        <v>-66963.399999999994</v>
      </c>
    </row>
    <row r="28" spans="1:11" x14ac:dyDescent="0.2">
      <c r="A28" s="14" t="s">
        <v>234</v>
      </c>
      <c r="B28" s="15" t="s">
        <v>55</v>
      </c>
      <c r="C28" s="15" t="s">
        <v>55</v>
      </c>
      <c r="D28" s="15" t="s">
        <v>55</v>
      </c>
      <c r="E28" s="15" t="s">
        <v>55</v>
      </c>
      <c r="F28" s="15" t="s">
        <v>55</v>
      </c>
      <c r="G28" s="15" t="s">
        <v>55</v>
      </c>
      <c r="H28" s="15">
        <v>-28245.4</v>
      </c>
      <c r="I28" s="15" t="s">
        <v>55</v>
      </c>
      <c r="J28" s="15" t="s">
        <v>55</v>
      </c>
      <c r="K28" s="15">
        <v>-28245.4</v>
      </c>
    </row>
    <row r="29" spans="1:11" x14ac:dyDescent="0.2">
      <c r="A29" s="14" t="s">
        <v>235</v>
      </c>
      <c r="B29" s="15" t="s">
        <v>55</v>
      </c>
      <c r="C29" s="15" t="s">
        <v>55</v>
      </c>
      <c r="D29" s="15" t="s">
        <v>55</v>
      </c>
      <c r="E29" s="15" t="s">
        <v>55</v>
      </c>
      <c r="F29" s="15" t="s">
        <v>55</v>
      </c>
      <c r="G29" s="15" t="s">
        <v>55</v>
      </c>
      <c r="H29" s="15">
        <v>8.9</v>
      </c>
      <c r="I29" s="15" t="s">
        <v>55</v>
      </c>
      <c r="J29" s="15" t="s">
        <v>55</v>
      </c>
      <c r="K29" s="15">
        <v>8.9</v>
      </c>
    </row>
    <row r="30" spans="1:11" x14ac:dyDescent="0.2">
      <c r="A30" s="13" t="s">
        <v>236</v>
      </c>
      <c r="B30" s="17" t="s">
        <v>55</v>
      </c>
      <c r="C30" s="17" t="s">
        <v>55</v>
      </c>
      <c r="D30" s="17" t="s">
        <v>55</v>
      </c>
      <c r="E30" s="17" t="s">
        <v>55</v>
      </c>
      <c r="F30" s="17" t="s">
        <v>55</v>
      </c>
      <c r="G30" s="17" t="s">
        <v>55</v>
      </c>
      <c r="H30" s="17">
        <v>-28236.5</v>
      </c>
      <c r="I30" s="17" t="s">
        <v>55</v>
      </c>
      <c r="J30" s="17" t="s">
        <v>55</v>
      </c>
      <c r="K30" s="17">
        <v>-28236.5</v>
      </c>
    </row>
    <row r="31" spans="1:11" x14ac:dyDescent="0.2">
      <c r="A31" s="14" t="s">
        <v>237</v>
      </c>
      <c r="B31" s="15" t="s">
        <v>55</v>
      </c>
      <c r="C31" s="15" t="s">
        <v>55</v>
      </c>
      <c r="D31" s="15" t="s">
        <v>55</v>
      </c>
      <c r="E31" s="15">
        <v>1116.3</v>
      </c>
      <c r="F31" s="15" t="s">
        <v>55</v>
      </c>
      <c r="G31" s="15" t="s">
        <v>55</v>
      </c>
      <c r="H31" s="15" t="s">
        <v>55</v>
      </c>
      <c r="I31" s="15" t="s">
        <v>55</v>
      </c>
      <c r="J31" s="15" t="s">
        <v>55</v>
      </c>
      <c r="K31" s="15">
        <v>1116.3</v>
      </c>
    </row>
    <row r="32" spans="1:11" x14ac:dyDescent="0.2">
      <c r="A32" s="14" t="s">
        <v>238</v>
      </c>
      <c r="B32" s="15" t="s">
        <v>55</v>
      </c>
      <c r="C32" s="15" t="s">
        <v>55</v>
      </c>
      <c r="D32" s="15" t="s">
        <v>55</v>
      </c>
      <c r="E32" s="15" t="s">
        <v>55</v>
      </c>
      <c r="F32" s="15" t="s">
        <v>55</v>
      </c>
      <c r="G32" s="15" t="s">
        <v>55</v>
      </c>
      <c r="H32" s="15">
        <v>31.1</v>
      </c>
      <c r="I32" s="15">
        <v>-31.1</v>
      </c>
      <c r="J32" s="15" t="s">
        <v>55</v>
      </c>
      <c r="K32" s="15" t="s">
        <v>55</v>
      </c>
    </row>
    <row r="33" spans="1:11" x14ac:dyDescent="0.2">
      <c r="A33" s="13" t="s">
        <v>209</v>
      </c>
      <c r="B33" s="17">
        <v>-8846</v>
      </c>
      <c r="C33" s="17">
        <v>27778.7</v>
      </c>
      <c r="D33" s="17">
        <v>440.8</v>
      </c>
      <c r="E33" s="17">
        <v>109586.1</v>
      </c>
      <c r="F33" s="17">
        <v>-48844.4</v>
      </c>
      <c r="G33" s="17">
        <v>156.19999999999999</v>
      </c>
      <c r="H33" s="17">
        <v>-174360</v>
      </c>
      <c r="I33" s="17">
        <v>5</v>
      </c>
      <c r="J33" s="17" t="s">
        <v>55</v>
      </c>
      <c r="K33" s="17">
        <v>-94083.6</v>
      </c>
    </row>
    <row r="34" spans="1:11" x14ac:dyDescent="0.2">
      <c r="A34" s="3" t="s">
        <v>239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1" x14ac:dyDescent="0.2">
      <c r="A35" s="14" t="s">
        <v>240</v>
      </c>
      <c r="B35" s="15" t="s">
        <v>55</v>
      </c>
      <c r="C35" s="15" t="s">
        <v>55</v>
      </c>
      <c r="D35" s="15" t="s">
        <v>55</v>
      </c>
      <c r="E35" s="15" t="s">
        <v>55</v>
      </c>
      <c r="F35" s="15" t="s">
        <v>55</v>
      </c>
      <c r="G35" s="15" t="s">
        <v>55</v>
      </c>
      <c r="H35" s="15">
        <v>-29301.1</v>
      </c>
      <c r="I35" s="15" t="s">
        <v>55</v>
      </c>
      <c r="J35" s="15" t="s">
        <v>55</v>
      </c>
      <c r="K35" s="15">
        <v>-29301.1</v>
      </c>
    </row>
    <row r="36" spans="1:11" x14ac:dyDescent="0.2">
      <c r="A36" s="14" t="s">
        <v>241</v>
      </c>
      <c r="B36" s="15" t="s">
        <v>55</v>
      </c>
      <c r="C36" s="15" t="s">
        <v>55</v>
      </c>
      <c r="D36" s="15" t="s">
        <v>55</v>
      </c>
      <c r="E36" s="15" t="s">
        <v>55</v>
      </c>
      <c r="F36" s="15" t="s">
        <v>55</v>
      </c>
      <c r="G36" s="15" t="s">
        <v>55</v>
      </c>
      <c r="H36" s="15">
        <v>11.1</v>
      </c>
      <c r="I36" s="15" t="s">
        <v>55</v>
      </c>
      <c r="J36" s="15" t="s">
        <v>55</v>
      </c>
      <c r="K36" s="15">
        <v>11.1</v>
      </c>
    </row>
    <row r="37" spans="1:11" x14ac:dyDescent="0.2">
      <c r="A37" s="13" t="s">
        <v>236</v>
      </c>
      <c r="B37" s="17" t="s">
        <v>55</v>
      </c>
      <c r="C37" s="17" t="s">
        <v>55</v>
      </c>
      <c r="D37" s="17" t="s">
        <v>55</v>
      </c>
      <c r="E37" s="17" t="s">
        <v>55</v>
      </c>
      <c r="F37" s="17" t="s">
        <v>55</v>
      </c>
      <c r="G37" s="17" t="s">
        <v>55</v>
      </c>
      <c r="H37" s="17">
        <v>-29290</v>
      </c>
      <c r="I37" s="17" t="s">
        <v>55</v>
      </c>
      <c r="J37" s="17" t="s">
        <v>55</v>
      </c>
      <c r="K37" s="17">
        <v>-29290</v>
      </c>
    </row>
    <row r="38" spans="1:11" x14ac:dyDescent="0.2">
      <c r="A38" s="14" t="s">
        <v>242</v>
      </c>
      <c r="B38" s="15" t="s">
        <v>55</v>
      </c>
      <c r="C38" s="15" t="s">
        <v>55</v>
      </c>
      <c r="D38" s="15" t="s">
        <v>55</v>
      </c>
      <c r="E38" s="15" t="s">
        <v>55</v>
      </c>
      <c r="F38" s="15" t="s">
        <v>55</v>
      </c>
      <c r="G38" s="15" t="s">
        <v>55</v>
      </c>
      <c r="H38" s="15">
        <v>330.5</v>
      </c>
      <c r="I38" s="15" t="s">
        <v>55</v>
      </c>
      <c r="J38" s="15" t="s">
        <v>55</v>
      </c>
      <c r="K38" s="15">
        <v>330.5</v>
      </c>
    </row>
    <row r="39" spans="1:11" x14ac:dyDescent="0.2">
      <c r="A39" s="14" t="s">
        <v>243</v>
      </c>
      <c r="B39" s="15" t="s">
        <v>55</v>
      </c>
      <c r="C39" s="15" t="s">
        <v>55</v>
      </c>
      <c r="D39" s="15" t="s">
        <v>55</v>
      </c>
      <c r="E39" s="15" t="s">
        <v>55</v>
      </c>
      <c r="F39" s="15" t="s">
        <v>55</v>
      </c>
      <c r="G39" s="15" t="s">
        <v>55</v>
      </c>
      <c r="H39" s="15" t="s">
        <v>55</v>
      </c>
      <c r="I39" s="15" t="s">
        <v>55</v>
      </c>
      <c r="J39" s="15">
        <v>436.2</v>
      </c>
      <c r="K39" s="15">
        <v>436.2</v>
      </c>
    </row>
    <row r="40" spans="1:11" ht="27" customHeight="1" x14ac:dyDescent="0.2">
      <c r="A40" s="14" t="s">
        <v>244</v>
      </c>
      <c r="B40" s="15" t="s">
        <v>55</v>
      </c>
      <c r="C40" s="15" t="s">
        <v>55</v>
      </c>
      <c r="D40" s="15" t="s">
        <v>55</v>
      </c>
      <c r="E40" s="15">
        <v>4.3</v>
      </c>
      <c r="F40" s="15" t="s">
        <v>55</v>
      </c>
      <c r="G40" s="15" t="s">
        <v>55</v>
      </c>
      <c r="H40" s="15" t="s">
        <v>55</v>
      </c>
      <c r="I40" s="15" t="s">
        <v>55</v>
      </c>
      <c r="J40" s="15">
        <v>-436.2</v>
      </c>
      <c r="K40" s="15">
        <v>-431.9</v>
      </c>
    </row>
    <row r="41" spans="1:11" x14ac:dyDescent="0.2">
      <c r="A41" s="14" t="s">
        <v>238</v>
      </c>
      <c r="B41" s="15" t="s">
        <v>55</v>
      </c>
      <c r="C41" s="15" t="s">
        <v>55</v>
      </c>
      <c r="D41" s="15" t="s">
        <v>55</v>
      </c>
      <c r="E41" s="15" t="s">
        <v>55</v>
      </c>
      <c r="F41" s="15" t="s">
        <v>55</v>
      </c>
      <c r="G41" s="15" t="s">
        <v>55</v>
      </c>
      <c r="H41" s="15">
        <v>1.2</v>
      </c>
      <c r="I41" s="15">
        <v>-1.2</v>
      </c>
      <c r="J41" s="15" t="s">
        <v>55</v>
      </c>
      <c r="K41" s="15" t="s">
        <v>55</v>
      </c>
    </row>
    <row r="42" spans="1:11" x14ac:dyDescent="0.2">
      <c r="A42" s="13" t="s">
        <v>211</v>
      </c>
      <c r="B42" s="17">
        <v>-8846</v>
      </c>
      <c r="C42" s="17">
        <v>27778.7</v>
      </c>
      <c r="D42" s="17">
        <v>440.8</v>
      </c>
      <c r="E42" s="17">
        <v>109590.39999999999</v>
      </c>
      <c r="F42" s="17">
        <v>-48844.4</v>
      </c>
      <c r="G42" s="17">
        <v>156.19999999999999</v>
      </c>
      <c r="H42" s="17">
        <v>-203318.3</v>
      </c>
      <c r="I42" s="17">
        <v>3.8</v>
      </c>
      <c r="J42" s="17" t="s">
        <v>55</v>
      </c>
      <c r="K42" s="17">
        <v>-123038.8</v>
      </c>
    </row>
    <row r="43" spans="1:11" x14ac:dyDescent="0.2">
      <c r="A43" s="3" t="s">
        <v>245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 x14ac:dyDescent="0.2">
      <c r="A44" s="14" t="s">
        <v>246</v>
      </c>
      <c r="B44" s="15" t="s">
        <v>55</v>
      </c>
      <c r="C44" s="15" t="s">
        <v>55</v>
      </c>
      <c r="D44" s="15" t="s">
        <v>55</v>
      </c>
      <c r="E44" s="15" t="s">
        <v>55</v>
      </c>
      <c r="F44" s="15" t="s">
        <v>55</v>
      </c>
      <c r="G44" s="15" t="s">
        <v>55</v>
      </c>
      <c r="H44" s="15">
        <v>-31238.400000000001</v>
      </c>
      <c r="I44" s="15" t="s">
        <v>55</v>
      </c>
      <c r="J44" s="15" t="s">
        <v>55</v>
      </c>
      <c r="K44" s="15">
        <v>-31238.400000000001</v>
      </c>
    </row>
    <row r="45" spans="1:11" x14ac:dyDescent="0.2">
      <c r="A45" s="14" t="s">
        <v>247</v>
      </c>
      <c r="B45" s="15" t="s">
        <v>55</v>
      </c>
      <c r="C45" s="15" t="s">
        <v>55</v>
      </c>
      <c r="D45" s="15" t="s">
        <v>55</v>
      </c>
      <c r="E45" s="15" t="s">
        <v>55</v>
      </c>
      <c r="F45" s="15" t="s">
        <v>55</v>
      </c>
      <c r="G45" s="15" t="s">
        <v>55</v>
      </c>
      <c r="H45" s="15">
        <v>-9.4</v>
      </c>
      <c r="I45" s="15" t="s">
        <v>55</v>
      </c>
      <c r="J45" s="15" t="s">
        <v>55</v>
      </c>
      <c r="K45" s="15">
        <v>-9.4</v>
      </c>
    </row>
    <row r="46" spans="1:11" x14ac:dyDescent="0.2">
      <c r="A46" s="13" t="s">
        <v>236</v>
      </c>
      <c r="B46" s="17" t="s">
        <v>55</v>
      </c>
      <c r="C46" s="17" t="s">
        <v>55</v>
      </c>
      <c r="D46" s="17" t="s">
        <v>55</v>
      </c>
      <c r="E46" s="17" t="s">
        <v>55</v>
      </c>
      <c r="F46" s="17" t="s">
        <v>55</v>
      </c>
      <c r="G46" s="17" t="s">
        <v>55</v>
      </c>
      <c r="H46" s="17">
        <v>-31247.8</v>
      </c>
      <c r="I46" s="17" t="s">
        <v>55</v>
      </c>
      <c r="J46" s="17" t="s">
        <v>55</v>
      </c>
      <c r="K46" s="17">
        <v>-31247.8</v>
      </c>
    </row>
    <row r="47" spans="1:11" x14ac:dyDescent="0.2">
      <c r="A47" s="14" t="s">
        <v>248</v>
      </c>
      <c r="B47" s="15" t="s">
        <v>55</v>
      </c>
      <c r="C47" s="15" t="s">
        <v>55</v>
      </c>
      <c r="D47" s="15" t="s">
        <v>55</v>
      </c>
      <c r="E47" s="15">
        <v>1.4</v>
      </c>
      <c r="F47" s="15" t="s">
        <v>55</v>
      </c>
      <c r="G47" s="15" t="s">
        <v>55</v>
      </c>
      <c r="H47" s="15" t="s">
        <v>55</v>
      </c>
      <c r="I47" s="15">
        <v>-1.4</v>
      </c>
      <c r="J47" s="15" t="s">
        <v>55</v>
      </c>
      <c r="K47" s="15" t="s">
        <v>55</v>
      </c>
    </row>
    <row r="48" spans="1:11" x14ac:dyDescent="0.2">
      <c r="A48" s="14" t="s">
        <v>238</v>
      </c>
      <c r="B48" s="15" t="s">
        <v>55</v>
      </c>
      <c r="C48" s="15" t="s">
        <v>55</v>
      </c>
      <c r="D48" s="15" t="s">
        <v>55</v>
      </c>
      <c r="E48" s="15" t="s">
        <v>55</v>
      </c>
      <c r="F48" s="15" t="s">
        <v>55</v>
      </c>
      <c r="G48" s="15" t="s">
        <v>55</v>
      </c>
      <c r="H48" s="15">
        <v>0.4</v>
      </c>
      <c r="I48" s="15">
        <v>-0.4</v>
      </c>
      <c r="J48" s="15" t="s">
        <v>55</v>
      </c>
      <c r="K48" s="15" t="s">
        <v>55</v>
      </c>
    </row>
    <row r="49" spans="1:11" x14ac:dyDescent="0.2">
      <c r="A49" s="14" t="s">
        <v>249</v>
      </c>
      <c r="B49" s="15" t="s">
        <v>55</v>
      </c>
      <c r="C49" s="15" t="s">
        <v>55</v>
      </c>
      <c r="D49" s="15">
        <v>-440.8</v>
      </c>
      <c r="E49" s="15" t="s">
        <v>55</v>
      </c>
      <c r="F49" s="15" t="s">
        <v>55</v>
      </c>
      <c r="G49" s="15">
        <v>440.8</v>
      </c>
      <c r="H49" s="15" t="s">
        <v>55</v>
      </c>
      <c r="I49" s="15" t="s">
        <v>55</v>
      </c>
      <c r="J49" s="15" t="s">
        <v>55</v>
      </c>
      <c r="K49" s="15" t="s">
        <v>55</v>
      </c>
    </row>
    <row r="50" spans="1:11" x14ac:dyDescent="0.2">
      <c r="A50" s="13" t="s">
        <v>214</v>
      </c>
      <c r="B50" s="17">
        <v>-8846</v>
      </c>
      <c r="C50" s="17">
        <v>27778.7</v>
      </c>
      <c r="D50" s="17" t="s">
        <v>55</v>
      </c>
      <c r="E50" s="17">
        <v>109591.8</v>
      </c>
      <c r="F50" s="17">
        <v>-48844.4</v>
      </c>
      <c r="G50" s="17">
        <v>597</v>
      </c>
      <c r="H50" s="17">
        <v>-234565.7</v>
      </c>
      <c r="I50" s="17">
        <v>2</v>
      </c>
      <c r="J50" s="17" t="s">
        <v>55</v>
      </c>
      <c r="K50" s="17">
        <v>-154286.6</v>
      </c>
    </row>
    <row r="51" spans="1:11" x14ac:dyDescent="0.2">
      <c r="A51" s="3" t="s">
        <v>250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spans="1:11" x14ac:dyDescent="0.2">
      <c r="A52" s="14" t="s">
        <v>251</v>
      </c>
      <c r="B52" s="15" t="s">
        <v>55</v>
      </c>
      <c r="C52" s="15" t="s">
        <v>55</v>
      </c>
      <c r="D52" s="15" t="s">
        <v>55</v>
      </c>
      <c r="E52" s="15" t="s">
        <v>55</v>
      </c>
      <c r="F52" s="15" t="s">
        <v>55</v>
      </c>
      <c r="G52" s="15" t="s">
        <v>55</v>
      </c>
      <c r="H52" s="15">
        <v>-27383.4</v>
      </c>
      <c r="I52" s="15" t="s">
        <v>55</v>
      </c>
      <c r="J52" s="15" t="s">
        <v>55</v>
      </c>
      <c r="K52" s="15">
        <v>-27383.4</v>
      </c>
    </row>
    <row r="53" spans="1:11" x14ac:dyDescent="0.2">
      <c r="A53" s="14" t="s">
        <v>252</v>
      </c>
      <c r="B53" s="15" t="s">
        <v>55</v>
      </c>
      <c r="C53" s="15" t="s">
        <v>55</v>
      </c>
      <c r="D53" s="15" t="s">
        <v>55</v>
      </c>
      <c r="E53" s="15" t="s">
        <v>55</v>
      </c>
      <c r="F53" s="15" t="s">
        <v>55</v>
      </c>
      <c r="G53" s="15" t="s">
        <v>55</v>
      </c>
      <c r="H53" s="15">
        <v>-17.2</v>
      </c>
      <c r="I53" s="15" t="s">
        <v>55</v>
      </c>
      <c r="J53" s="15" t="s">
        <v>55</v>
      </c>
      <c r="K53" s="15">
        <v>-17.2</v>
      </c>
    </row>
    <row r="54" spans="1:11" x14ac:dyDescent="0.2">
      <c r="A54" s="13" t="s">
        <v>236</v>
      </c>
      <c r="B54" s="17" t="s">
        <v>55</v>
      </c>
      <c r="C54" s="17" t="s">
        <v>55</v>
      </c>
      <c r="D54" s="17" t="s">
        <v>55</v>
      </c>
      <c r="E54" s="17" t="s">
        <v>55</v>
      </c>
      <c r="F54" s="17" t="s">
        <v>55</v>
      </c>
      <c r="G54" s="17" t="s">
        <v>55</v>
      </c>
      <c r="H54" s="17">
        <v>-27400.6</v>
      </c>
      <c r="I54" s="17" t="s">
        <v>55</v>
      </c>
      <c r="J54" s="17" t="s">
        <v>55</v>
      </c>
      <c r="K54" s="17">
        <v>-27400.6</v>
      </c>
    </row>
    <row r="55" spans="1:11" x14ac:dyDescent="0.2">
      <c r="A55" s="14" t="s">
        <v>238</v>
      </c>
      <c r="B55" s="15" t="s">
        <v>55</v>
      </c>
      <c r="C55" s="15" t="s">
        <v>55</v>
      </c>
      <c r="D55" s="15" t="s">
        <v>55</v>
      </c>
      <c r="E55" s="15" t="s">
        <v>55</v>
      </c>
      <c r="F55" s="15" t="s">
        <v>55</v>
      </c>
      <c r="G55" s="15" t="s">
        <v>55</v>
      </c>
      <c r="H55" s="15">
        <v>0.1</v>
      </c>
      <c r="I55" s="15">
        <v>-0.1</v>
      </c>
      <c r="J55" s="15" t="s">
        <v>55</v>
      </c>
      <c r="K55" s="15" t="s">
        <v>55</v>
      </c>
    </row>
    <row r="56" spans="1:11" ht="27" customHeight="1" x14ac:dyDescent="0.2">
      <c r="A56" s="14" t="s">
        <v>253</v>
      </c>
      <c r="B56" s="15" t="s">
        <v>55</v>
      </c>
      <c r="C56" s="15" t="s">
        <v>55</v>
      </c>
      <c r="D56" s="15" t="s">
        <v>55</v>
      </c>
      <c r="E56" s="15">
        <v>1332.3</v>
      </c>
      <c r="F56" s="15" t="s">
        <v>55</v>
      </c>
      <c r="G56" s="15" t="s">
        <v>55</v>
      </c>
      <c r="H56" s="15" t="s">
        <v>55</v>
      </c>
      <c r="I56" s="15" t="s">
        <v>55</v>
      </c>
      <c r="J56" s="15" t="s">
        <v>55</v>
      </c>
      <c r="K56" s="15">
        <v>1332.3</v>
      </c>
    </row>
    <row r="57" spans="1:11" x14ac:dyDescent="0.2">
      <c r="A57" s="14" t="s">
        <v>248</v>
      </c>
      <c r="B57" s="15" t="s">
        <v>55</v>
      </c>
      <c r="C57" s="15" t="s">
        <v>55</v>
      </c>
      <c r="D57" s="15" t="s">
        <v>55</v>
      </c>
      <c r="E57" s="15">
        <v>1.2</v>
      </c>
      <c r="F57" s="15" t="s">
        <v>55</v>
      </c>
      <c r="G57" s="15" t="s">
        <v>55</v>
      </c>
      <c r="H57" s="15" t="s">
        <v>55</v>
      </c>
      <c r="I57" s="15">
        <v>-1.2</v>
      </c>
      <c r="J57" s="15" t="s">
        <v>55</v>
      </c>
      <c r="K57" s="15" t="s">
        <v>55</v>
      </c>
    </row>
    <row r="58" spans="1:11" ht="27" customHeight="1" x14ac:dyDescent="0.2">
      <c r="A58" s="14" t="s">
        <v>254</v>
      </c>
      <c r="B58" s="15" t="s">
        <v>55</v>
      </c>
      <c r="C58" s="15" t="s">
        <v>55</v>
      </c>
      <c r="D58" s="15" t="s">
        <v>55</v>
      </c>
      <c r="E58" s="15">
        <v>1691.7</v>
      </c>
      <c r="F58" s="15" t="s">
        <v>55</v>
      </c>
      <c r="G58" s="15" t="s">
        <v>55</v>
      </c>
      <c r="H58" s="15" t="s">
        <v>55</v>
      </c>
      <c r="I58" s="15" t="s">
        <v>55</v>
      </c>
      <c r="J58" s="15" t="s">
        <v>55</v>
      </c>
      <c r="K58" s="15">
        <v>1691.7</v>
      </c>
    </row>
    <row r="59" spans="1:11" ht="27" customHeight="1" x14ac:dyDescent="0.2">
      <c r="A59" s="14" t="s">
        <v>255</v>
      </c>
      <c r="B59" s="15" t="s">
        <v>55</v>
      </c>
      <c r="C59" s="15" t="s">
        <v>55</v>
      </c>
      <c r="D59" s="15" t="s">
        <v>55</v>
      </c>
      <c r="E59" s="15" t="s">
        <v>55</v>
      </c>
      <c r="F59" s="15" t="s">
        <v>55</v>
      </c>
      <c r="G59" s="15" t="s">
        <v>55</v>
      </c>
      <c r="H59" s="15" t="s">
        <v>55</v>
      </c>
      <c r="I59" s="15" t="s">
        <v>55</v>
      </c>
      <c r="J59" s="15">
        <v>36950</v>
      </c>
      <c r="K59" s="15">
        <v>36950</v>
      </c>
    </row>
    <row r="60" spans="1:11" x14ac:dyDescent="0.2">
      <c r="A60" s="13" t="s">
        <v>218</v>
      </c>
      <c r="B60" s="17">
        <v>-8846</v>
      </c>
      <c r="C60" s="17">
        <v>27778.7</v>
      </c>
      <c r="D60" s="17" t="s">
        <v>55</v>
      </c>
      <c r="E60" s="17">
        <v>112617</v>
      </c>
      <c r="F60" s="17">
        <v>-48844.4</v>
      </c>
      <c r="G60" s="17">
        <v>597</v>
      </c>
      <c r="H60" s="17">
        <v>-261966.2</v>
      </c>
      <c r="I60" s="17">
        <v>0.7</v>
      </c>
      <c r="J60" s="17">
        <v>36950</v>
      </c>
      <c r="K60" s="17">
        <v>-141713.20000000001</v>
      </c>
    </row>
    <row r="61" spans="1:11" ht="27" customHeight="1" x14ac:dyDescent="0.2">
      <c r="A61" s="3" t="s">
        <v>256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</row>
    <row r="62" spans="1:11" ht="27" customHeight="1" x14ac:dyDescent="0.2">
      <c r="A62" s="13" t="s">
        <v>257</v>
      </c>
      <c r="B62" s="17">
        <v>-8846</v>
      </c>
      <c r="C62" s="17">
        <v>27779</v>
      </c>
      <c r="E62" s="17">
        <v>112617</v>
      </c>
      <c r="F62" s="17">
        <v>-48844</v>
      </c>
      <c r="G62" s="17">
        <v>597</v>
      </c>
      <c r="H62" s="17">
        <v>-261967</v>
      </c>
      <c r="I62" s="17">
        <v>1</v>
      </c>
      <c r="J62" s="17">
        <v>36950</v>
      </c>
      <c r="K62" s="17">
        <v>-141713</v>
      </c>
    </row>
    <row r="63" spans="1:11" x14ac:dyDescent="0.2">
      <c r="A63" s="14" t="s">
        <v>258</v>
      </c>
      <c r="B63" s="15" t="s">
        <v>55</v>
      </c>
      <c r="C63" s="15" t="s">
        <v>55</v>
      </c>
      <c r="E63" s="15" t="s">
        <v>55</v>
      </c>
      <c r="F63" s="15" t="s">
        <v>55</v>
      </c>
      <c r="G63" s="15" t="s">
        <v>55</v>
      </c>
      <c r="H63" s="15">
        <v>34552</v>
      </c>
      <c r="I63" s="15" t="s">
        <v>55</v>
      </c>
      <c r="J63" s="15" t="s">
        <v>55</v>
      </c>
      <c r="K63" s="15">
        <v>34552</v>
      </c>
    </row>
    <row r="64" spans="1:11" x14ac:dyDescent="0.2">
      <c r="A64" s="14" t="s">
        <v>259</v>
      </c>
      <c r="B64" s="15" t="s">
        <v>55</v>
      </c>
      <c r="C64" s="15" t="s">
        <v>55</v>
      </c>
      <c r="E64" s="15" t="s">
        <v>55</v>
      </c>
      <c r="F64" s="15" t="s">
        <v>55</v>
      </c>
      <c r="G64" s="15" t="s">
        <v>55</v>
      </c>
      <c r="H64" s="15">
        <v>12</v>
      </c>
      <c r="I64" s="15" t="s">
        <v>55</v>
      </c>
      <c r="J64" s="15" t="s">
        <v>55</v>
      </c>
      <c r="K64" s="15">
        <v>12</v>
      </c>
    </row>
    <row r="65" spans="1:11" x14ac:dyDescent="0.2">
      <c r="A65" s="13" t="s">
        <v>236</v>
      </c>
      <c r="B65" s="17" t="s">
        <v>55</v>
      </c>
      <c r="C65" s="17" t="s">
        <v>55</v>
      </c>
      <c r="E65" s="17" t="s">
        <v>55</v>
      </c>
      <c r="F65" s="17" t="s">
        <v>55</v>
      </c>
      <c r="G65" s="17" t="s">
        <v>55</v>
      </c>
      <c r="H65" s="17">
        <v>34564</v>
      </c>
      <c r="I65" s="17" t="s">
        <v>55</v>
      </c>
      <c r="J65" s="17" t="s">
        <v>55</v>
      </c>
      <c r="K65" s="17">
        <v>34564</v>
      </c>
    </row>
    <row r="66" spans="1:11" x14ac:dyDescent="0.2">
      <c r="A66" s="14" t="s">
        <v>238</v>
      </c>
      <c r="B66" s="15" t="s">
        <v>55</v>
      </c>
      <c r="C66" s="15" t="s">
        <v>55</v>
      </c>
      <c r="E66" s="15" t="s">
        <v>55</v>
      </c>
      <c r="F66" s="15" t="s">
        <v>55</v>
      </c>
      <c r="G66" s="15" t="s">
        <v>55</v>
      </c>
      <c r="H66" s="15">
        <v>1</v>
      </c>
      <c r="I66" s="15">
        <v>-1</v>
      </c>
      <c r="J66" s="15" t="s">
        <v>55</v>
      </c>
      <c r="K66" s="15" t="s">
        <v>55</v>
      </c>
    </row>
    <row r="67" spans="1:11" x14ac:dyDescent="0.2">
      <c r="A67" s="14" t="s">
        <v>219</v>
      </c>
      <c r="B67" s="15" t="s">
        <v>55</v>
      </c>
      <c r="C67" s="15" t="s">
        <v>55</v>
      </c>
      <c r="E67" s="15" t="s">
        <v>55</v>
      </c>
      <c r="F67" s="15" t="s">
        <v>55</v>
      </c>
      <c r="G67" s="15" t="s">
        <v>55</v>
      </c>
      <c r="H67" s="15" t="s">
        <v>55</v>
      </c>
      <c r="I67" s="15" t="s">
        <v>55</v>
      </c>
      <c r="J67" s="15">
        <v>-36950</v>
      </c>
      <c r="K67" s="15">
        <v>-36950</v>
      </c>
    </row>
    <row r="68" spans="1:11" x14ac:dyDescent="0.2">
      <c r="A68" s="14" t="s">
        <v>260</v>
      </c>
      <c r="B68" s="15" t="s">
        <v>55</v>
      </c>
      <c r="C68" s="15" t="s">
        <v>55</v>
      </c>
      <c r="E68" s="15">
        <v>-2</v>
      </c>
      <c r="F68" s="15" t="s">
        <v>55</v>
      </c>
      <c r="G68" s="15" t="s">
        <v>55</v>
      </c>
      <c r="H68" s="15" t="s">
        <v>55</v>
      </c>
      <c r="I68" s="15" t="s">
        <v>55</v>
      </c>
      <c r="J68" s="15" t="s">
        <v>55</v>
      </c>
      <c r="K68" s="15">
        <v>-2</v>
      </c>
    </row>
    <row r="69" spans="1:11" x14ac:dyDescent="0.2">
      <c r="A69" s="13" t="s">
        <v>220</v>
      </c>
      <c r="B69" s="17">
        <v>-8846</v>
      </c>
      <c r="C69" s="17">
        <v>27779</v>
      </c>
      <c r="E69" s="17">
        <v>112615</v>
      </c>
      <c r="F69" s="17">
        <v>-48844</v>
      </c>
      <c r="G69" s="17">
        <v>597</v>
      </c>
      <c r="H69" s="17">
        <v>-227402</v>
      </c>
      <c r="I69" s="17" t="s">
        <v>55</v>
      </c>
      <c r="J69" s="17" t="s">
        <v>55</v>
      </c>
      <c r="K69" s="17">
        <v>-144101</v>
      </c>
    </row>
    <row r="71" spans="1:11" x14ac:dyDescent="0.2">
      <c r="A71" s="9" t="s">
        <v>261</v>
      </c>
    </row>
    <row r="72" spans="1:11" x14ac:dyDescent="0.2">
      <c r="A72" s="9" t="s">
        <v>262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6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8.6640625" defaultRowHeight="15" x14ac:dyDescent="0.2"/>
  <cols>
    <col min="1" max="1" width="78" customWidth="1"/>
    <col min="2" max="6" width="24" customWidth="1"/>
  </cols>
  <sheetData>
    <row r="1" spans="1:6" ht="16" x14ac:dyDescent="0.2">
      <c r="A1" s="4" t="s">
        <v>21</v>
      </c>
    </row>
    <row r="2" spans="1:6" x14ac:dyDescent="0.2">
      <c r="A2" s="5" t="s">
        <v>263</v>
      </c>
    </row>
    <row r="3" spans="1:6" x14ac:dyDescent="0.2">
      <c r="A3" s="6" t="s">
        <v>264</v>
      </c>
    </row>
    <row r="5" spans="1:6" ht="42" customHeight="1" x14ac:dyDescent="0.2">
      <c r="A5" s="7" t="s">
        <v>24</v>
      </c>
      <c r="B5" s="8" t="s">
        <v>265</v>
      </c>
      <c r="C5" s="8" t="s">
        <v>266</v>
      </c>
      <c r="D5" s="8" t="s">
        <v>267</v>
      </c>
      <c r="E5" s="8" t="s">
        <v>268</v>
      </c>
      <c r="F5" s="8" t="s">
        <v>76</v>
      </c>
    </row>
    <row r="6" spans="1:6" x14ac:dyDescent="0.2">
      <c r="A6" s="3" t="s">
        <v>233</v>
      </c>
      <c r="B6" s="12"/>
      <c r="C6" s="12"/>
      <c r="D6" s="12"/>
      <c r="E6" s="12"/>
      <c r="F6" s="12"/>
    </row>
    <row r="7" spans="1:6" x14ac:dyDescent="0.2">
      <c r="A7" s="13" t="s">
        <v>269</v>
      </c>
      <c r="B7" s="17">
        <v>23071.5</v>
      </c>
      <c r="C7" s="17">
        <v>157238.79999999999</v>
      </c>
      <c r="D7" s="17">
        <v>44</v>
      </c>
      <c r="E7" s="17">
        <v>6395.2</v>
      </c>
      <c r="F7" s="17">
        <v>21409.9</v>
      </c>
    </row>
    <row r="8" spans="1:6" x14ac:dyDescent="0.2">
      <c r="A8" s="13" t="s">
        <v>270</v>
      </c>
    </row>
    <row r="9" spans="1:6" x14ac:dyDescent="0.2">
      <c r="A9" s="14" t="s">
        <v>271</v>
      </c>
      <c r="B9" s="15">
        <v>-5308.6</v>
      </c>
      <c r="C9" s="15">
        <v>-5.5</v>
      </c>
      <c r="D9" s="15" t="s">
        <v>55</v>
      </c>
      <c r="E9" s="15" t="s">
        <v>55</v>
      </c>
      <c r="F9" s="15" t="s">
        <v>55</v>
      </c>
    </row>
    <row r="10" spans="1:6" x14ac:dyDescent="0.2">
      <c r="A10" s="14" t="s">
        <v>272</v>
      </c>
      <c r="B10" s="15" t="s">
        <v>55</v>
      </c>
      <c r="C10" s="15" t="s">
        <v>55</v>
      </c>
      <c r="D10" s="15" t="s">
        <v>55</v>
      </c>
      <c r="E10" s="15">
        <v>-2799.7</v>
      </c>
      <c r="F10" s="15" t="s">
        <v>55</v>
      </c>
    </row>
    <row r="11" spans="1:6" x14ac:dyDescent="0.2">
      <c r="A11" s="14" t="s">
        <v>273</v>
      </c>
      <c r="B11" s="15" t="s">
        <v>55</v>
      </c>
      <c r="C11" s="15" t="s">
        <v>55</v>
      </c>
      <c r="D11" s="15" t="s">
        <v>55</v>
      </c>
      <c r="E11" s="15" t="s">
        <v>55</v>
      </c>
      <c r="F11" s="15">
        <v>-6939.7</v>
      </c>
    </row>
    <row r="12" spans="1:6" x14ac:dyDescent="0.2">
      <c r="A12" s="13" t="s">
        <v>274</v>
      </c>
    </row>
    <row r="13" spans="1:6" x14ac:dyDescent="0.2">
      <c r="A13" s="14" t="s">
        <v>275</v>
      </c>
      <c r="B13" s="15">
        <v>41.8</v>
      </c>
      <c r="C13" s="15" t="s">
        <v>55</v>
      </c>
      <c r="D13" s="15" t="s">
        <v>55</v>
      </c>
      <c r="E13" s="15">
        <v>-41.8</v>
      </c>
      <c r="F13" s="15" t="s">
        <v>55</v>
      </c>
    </row>
    <row r="14" spans="1:6" x14ac:dyDescent="0.2">
      <c r="A14" s="14" t="s">
        <v>276</v>
      </c>
      <c r="B14" s="15" t="s">
        <v>55</v>
      </c>
      <c r="C14" s="15" t="s">
        <v>55</v>
      </c>
      <c r="D14" s="15">
        <v>-33.799999999999997</v>
      </c>
      <c r="E14" s="15">
        <v>19119</v>
      </c>
      <c r="F14" s="15">
        <v>1895.6</v>
      </c>
    </row>
    <row r="15" spans="1:6" x14ac:dyDescent="0.2">
      <c r="A15" s="14" t="s">
        <v>277</v>
      </c>
      <c r="B15" s="15">
        <v>-2.1</v>
      </c>
      <c r="C15" s="15" t="s">
        <v>55</v>
      </c>
      <c r="D15" s="15" t="s">
        <v>55</v>
      </c>
      <c r="E15" s="15">
        <v>2.1</v>
      </c>
      <c r="F15" s="15" t="s">
        <v>55</v>
      </c>
    </row>
    <row r="16" spans="1:6" x14ac:dyDescent="0.2">
      <c r="A16" s="14" t="s">
        <v>278</v>
      </c>
      <c r="B16" s="15" t="s">
        <v>55</v>
      </c>
      <c r="C16" s="15" t="s">
        <v>55</v>
      </c>
      <c r="D16" s="15" t="s">
        <v>55</v>
      </c>
      <c r="E16" s="15">
        <v>0.5</v>
      </c>
      <c r="F16" s="15" t="s">
        <v>55</v>
      </c>
    </row>
    <row r="17" spans="1:6" x14ac:dyDescent="0.2">
      <c r="A17" s="14" t="s">
        <v>279</v>
      </c>
      <c r="B17" s="15" t="s">
        <v>55</v>
      </c>
      <c r="C17" s="15" t="s">
        <v>55</v>
      </c>
      <c r="D17" s="15" t="s">
        <v>55</v>
      </c>
      <c r="E17" s="15">
        <v>-1162</v>
      </c>
      <c r="F17" s="15" t="s">
        <v>55</v>
      </c>
    </row>
    <row r="18" spans="1:6" ht="27" customHeight="1" x14ac:dyDescent="0.2">
      <c r="A18" s="14" t="s">
        <v>280</v>
      </c>
      <c r="B18" s="15" t="s">
        <v>55</v>
      </c>
      <c r="C18" s="15">
        <v>14566.5</v>
      </c>
      <c r="D18" s="15" t="s">
        <v>55</v>
      </c>
      <c r="E18" s="15">
        <v>-14566.5</v>
      </c>
      <c r="F18" s="15" t="s">
        <v>55</v>
      </c>
    </row>
    <row r="19" spans="1:6" x14ac:dyDescent="0.2">
      <c r="A19" s="14" t="s">
        <v>281</v>
      </c>
      <c r="B19" s="15" t="s">
        <v>55</v>
      </c>
      <c r="C19" s="15">
        <v>1315.3</v>
      </c>
      <c r="D19" s="15" t="s">
        <v>55</v>
      </c>
      <c r="E19" s="15">
        <v>13.7</v>
      </c>
      <c r="F19" s="15" t="s">
        <v>55</v>
      </c>
    </row>
    <row r="20" spans="1:6" x14ac:dyDescent="0.2">
      <c r="A20" s="14" t="s">
        <v>282</v>
      </c>
      <c r="B20" s="15" t="s">
        <v>55</v>
      </c>
      <c r="C20" s="15" t="s">
        <v>55</v>
      </c>
      <c r="D20" s="15" t="s">
        <v>55</v>
      </c>
      <c r="E20" s="15" t="s">
        <v>55</v>
      </c>
      <c r="F20" s="15">
        <v>7388.9</v>
      </c>
    </row>
    <row r="21" spans="1:6" x14ac:dyDescent="0.2">
      <c r="A21" s="14" t="s">
        <v>283</v>
      </c>
      <c r="B21" s="15" t="s">
        <v>55</v>
      </c>
      <c r="C21" s="15" t="s">
        <v>55</v>
      </c>
      <c r="D21" s="15" t="s">
        <v>55</v>
      </c>
      <c r="E21" s="15" t="s">
        <v>55</v>
      </c>
      <c r="F21" s="15">
        <v>-911.3</v>
      </c>
    </row>
    <row r="22" spans="1:6" x14ac:dyDescent="0.2">
      <c r="A22" s="13" t="s">
        <v>209</v>
      </c>
      <c r="B22" s="17">
        <v>17802.599999999999</v>
      </c>
      <c r="C22" s="17">
        <v>173115.1</v>
      </c>
      <c r="D22" s="17">
        <v>10.199999999999999</v>
      </c>
      <c r="E22" s="17">
        <v>6960.5</v>
      </c>
      <c r="F22" s="17">
        <v>22843.4</v>
      </c>
    </row>
    <row r="23" spans="1:6" x14ac:dyDescent="0.2">
      <c r="A23" s="3" t="s">
        <v>239</v>
      </c>
      <c r="B23" s="12"/>
      <c r="C23" s="12"/>
      <c r="D23" s="12"/>
      <c r="E23" s="12"/>
      <c r="F23" s="12"/>
    </row>
    <row r="24" spans="1:6" x14ac:dyDescent="0.2">
      <c r="A24" s="13" t="s">
        <v>270</v>
      </c>
    </row>
    <row r="25" spans="1:6" x14ac:dyDescent="0.2">
      <c r="A25" s="14" t="s">
        <v>271</v>
      </c>
      <c r="B25" s="15">
        <v>-5112.8999999999996</v>
      </c>
      <c r="C25" s="15">
        <v>-0.7</v>
      </c>
      <c r="D25" s="15" t="s">
        <v>55</v>
      </c>
      <c r="E25" s="15" t="s">
        <v>55</v>
      </c>
      <c r="F25" s="15" t="s">
        <v>55</v>
      </c>
    </row>
    <row r="26" spans="1:6" x14ac:dyDescent="0.2">
      <c r="A26" s="14" t="s">
        <v>272</v>
      </c>
      <c r="B26" s="15" t="s">
        <v>55</v>
      </c>
      <c r="C26" s="15" t="s">
        <v>55</v>
      </c>
      <c r="D26" s="15" t="s">
        <v>55</v>
      </c>
      <c r="E26" s="15">
        <v>-2094</v>
      </c>
      <c r="F26" s="15" t="s">
        <v>55</v>
      </c>
    </row>
    <row r="27" spans="1:6" x14ac:dyDescent="0.2">
      <c r="A27" s="14" t="s">
        <v>273</v>
      </c>
      <c r="B27" s="15" t="s">
        <v>55</v>
      </c>
      <c r="C27" s="15" t="s">
        <v>55</v>
      </c>
      <c r="D27" s="15" t="s">
        <v>55</v>
      </c>
      <c r="E27" s="15" t="s">
        <v>55</v>
      </c>
      <c r="F27" s="15">
        <v>-7903.9</v>
      </c>
    </row>
    <row r="28" spans="1:6" x14ac:dyDescent="0.2">
      <c r="A28" s="13" t="s">
        <v>274</v>
      </c>
    </row>
    <row r="29" spans="1:6" x14ac:dyDescent="0.2">
      <c r="A29" s="14" t="s">
        <v>275</v>
      </c>
      <c r="B29" s="15">
        <v>43.5</v>
      </c>
      <c r="C29" s="15" t="s">
        <v>55</v>
      </c>
      <c r="D29" s="15" t="s">
        <v>55</v>
      </c>
      <c r="E29" s="15">
        <v>-43.5</v>
      </c>
      <c r="F29" s="15" t="s">
        <v>55</v>
      </c>
    </row>
    <row r="30" spans="1:6" x14ac:dyDescent="0.2">
      <c r="A30" s="14" t="s">
        <v>276</v>
      </c>
      <c r="B30" s="15" t="s">
        <v>55</v>
      </c>
      <c r="C30" s="15" t="s">
        <v>55</v>
      </c>
      <c r="D30" s="15">
        <v>-9.1</v>
      </c>
      <c r="E30" s="15">
        <v>19746.099999999999</v>
      </c>
      <c r="F30" s="15">
        <v>3617.3</v>
      </c>
    </row>
    <row r="31" spans="1:6" x14ac:dyDescent="0.2">
      <c r="A31" s="14" t="s">
        <v>277</v>
      </c>
      <c r="B31" s="15">
        <v>-4</v>
      </c>
      <c r="C31" s="15" t="s">
        <v>55</v>
      </c>
      <c r="D31" s="15" t="s">
        <v>55</v>
      </c>
      <c r="E31" s="15">
        <v>4</v>
      </c>
      <c r="F31" s="15" t="s">
        <v>55</v>
      </c>
    </row>
    <row r="32" spans="1:6" x14ac:dyDescent="0.2">
      <c r="A32" s="14" t="s">
        <v>278</v>
      </c>
      <c r="B32" s="15" t="s">
        <v>55</v>
      </c>
      <c r="C32" s="15" t="s">
        <v>55</v>
      </c>
      <c r="D32" s="15" t="s">
        <v>55</v>
      </c>
      <c r="E32" s="15">
        <v>0.5</v>
      </c>
      <c r="F32" s="15" t="s">
        <v>55</v>
      </c>
    </row>
    <row r="33" spans="1:6" x14ac:dyDescent="0.2">
      <c r="A33" s="14" t="s">
        <v>279</v>
      </c>
      <c r="B33" s="15" t="s">
        <v>55</v>
      </c>
      <c r="C33" s="15" t="s">
        <v>55</v>
      </c>
      <c r="D33" s="15" t="s">
        <v>55</v>
      </c>
      <c r="E33" s="15">
        <v>-2286</v>
      </c>
      <c r="F33" s="15" t="s">
        <v>55</v>
      </c>
    </row>
    <row r="34" spans="1:6" ht="27" customHeight="1" x14ac:dyDescent="0.2">
      <c r="A34" s="14" t="s">
        <v>280</v>
      </c>
      <c r="B34" s="15" t="s">
        <v>55</v>
      </c>
      <c r="C34" s="15">
        <v>14769.3</v>
      </c>
      <c r="D34" s="15" t="s">
        <v>55</v>
      </c>
      <c r="E34" s="15">
        <v>-14769.3</v>
      </c>
      <c r="F34" s="15" t="s">
        <v>55</v>
      </c>
    </row>
    <row r="35" spans="1:6" x14ac:dyDescent="0.2">
      <c r="A35" s="14" t="s">
        <v>281</v>
      </c>
      <c r="B35" s="15" t="s">
        <v>55</v>
      </c>
      <c r="C35" s="15">
        <v>17106.3</v>
      </c>
      <c r="D35" s="15" t="s">
        <v>55</v>
      </c>
      <c r="E35" s="15">
        <v>487.6</v>
      </c>
      <c r="F35" s="15" t="s">
        <v>55</v>
      </c>
    </row>
    <row r="36" spans="1:6" x14ac:dyDescent="0.2">
      <c r="A36" s="14" t="s">
        <v>284</v>
      </c>
      <c r="B36" s="15" t="s">
        <v>55</v>
      </c>
      <c r="C36" s="15">
        <v>-16133.2</v>
      </c>
      <c r="D36" s="15" t="s">
        <v>55</v>
      </c>
      <c r="E36" s="15" t="s">
        <v>55</v>
      </c>
      <c r="F36" s="15" t="s">
        <v>55</v>
      </c>
    </row>
    <row r="37" spans="1:6" x14ac:dyDescent="0.2">
      <c r="A37" s="14" t="s">
        <v>242</v>
      </c>
      <c r="B37" s="15" t="s">
        <v>55</v>
      </c>
      <c r="C37" s="15" t="s">
        <v>55</v>
      </c>
      <c r="D37" s="15" t="s">
        <v>55</v>
      </c>
      <c r="E37" s="15">
        <v>-330.5</v>
      </c>
      <c r="F37" s="15" t="s">
        <v>55</v>
      </c>
    </row>
    <row r="38" spans="1:6" x14ac:dyDescent="0.2">
      <c r="A38" s="14" t="s">
        <v>282</v>
      </c>
      <c r="B38" s="15" t="s">
        <v>55</v>
      </c>
      <c r="C38" s="15" t="s">
        <v>55</v>
      </c>
      <c r="D38" s="15" t="s">
        <v>55</v>
      </c>
      <c r="E38" s="15" t="s">
        <v>55</v>
      </c>
      <c r="F38" s="15">
        <v>18684.400000000001</v>
      </c>
    </row>
    <row r="39" spans="1:6" x14ac:dyDescent="0.2">
      <c r="A39" s="14" t="s">
        <v>283</v>
      </c>
      <c r="B39" s="15" t="s">
        <v>55</v>
      </c>
      <c r="C39" s="15" t="s">
        <v>55</v>
      </c>
      <c r="D39" s="15" t="s">
        <v>55</v>
      </c>
      <c r="E39" s="15" t="s">
        <v>55</v>
      </c>
      <c r="F39" s="15">
        <v>-1061.2</v>
      </c>
    </row>
    <row r="40" spans="1:6" x14ac:dyDescent="0.2">
      <c r="A40" s="13" t="s">
        <v>211</v>
      </c>
      <c r="B40" s="17">
        <v>12729.2</v>
      </c>
      <c r="C40" s="17">
        <v>188856.8</v>
      </c>
      <c r="D40" s="17">
        <v>1.1000000000000001</v>
      </c>
      <c r="E40" s="17">
        <v>7675.4</v>
      </c>
      <c r="F40" s="17">
        <v>36180</v>
      </c>
    </row>
    <row r="41" spans="1:6" x14ac:dyDescent="0.2">
      <c r="A41" s="3" t="s">
        <v>245</v>
      </c>
      <c r="B41" s="12"/>
      <c r="C41" s="12"/>
      <c r="D41" s="12"/>
      <c r="E41" s="12"/>
      <c r="F41" s="12"/>
    </row>
    <row r="42" spans="1:6" x14ac:dyDescent="0.2">
      <c r="A42" s="13" t="s">
        <v>270</v>
      </c>
    </row>
    <row r="43" spans="1:6" x14ac:dyDescent="0.2">
      <c r="A43" s="14" t="s">
        <v>271</v>
      </c>
      <c r="B43" s="15">
        <v>-7105.5</v>
      </c>
      <c r="C43" s="15">
        <v>-293.3</v>
      </c>
      <c r="D43" s="15" t="s">
        <v>55</v>
      </c>
      <c r="E43" s="15" t="s">
        <v>55</v>
      </c>
      <c r="F43" s="15" t="s">
        <v>55</v>
      </c>
    </row>
    <row r="44" spans="1:6" x14ac:dyDescent="0.2">
      <c r="A44" s="14" t="s">
        <v>272</v>
      </c>
      <c r="B44" s="15" t="s">
        <v>55</v>
      </c>
      <c r="C44" s="15" t="s">
        <v>55</v>
      </c>
      <c r="D44" s="15" t="s">
        <v>55</v>
      </c>
      <c r="E44" s="15">
        <v>-2867.8</v>
      </c>
      <c r="F44" s="15" t="s">
        <v>55</v>
      </c>
    </row>
    <row r="45" spans="1:6" x14ac:dyDescent="0.2">
      <c r="A45" s="14" t="s">
        <v>173</v>
      </c>
      <c r="B45" s="15" t="s">
        <v>55</v>
      </c>
      <c r="C45" s="15">
        <v>-448.3</v>
      </c>
      <c r="D45" s="15" t="s">
        <v>55</v>
      </c>
      <c r="E45" s="15" t="s">
        <v>55</v>
      </c>
      <c r="F45" s="15" t="s">
        <v>55</v>
      </c>
    </row>
    <row r="46" spans="1:6" x14ac:dyDescent="0.2">
      <c r="A46" s="14" t="s">
        <v>273</v>
      </c>
      <c r="B46" s="15" t="s">
        <v>55</v>
      </c>
      <c r="C46" s="15" t="s">
        <v>55</v>
      </c>
      <c r="D46" s="15" t="s">
        <v>55</v>
      </c>
      <c r="E46" s="15" t="s">
        <v>55</v>
      </c>
      <c r="F46" s="15">
        <v>-8713.7999999999993</v>
      </c>
    </row>
    <row r="47" spans="1:6" x14ac:dyDescent="0.2">
      <c r="A47" s="13" t="s">
        <v>274</v>
      </c>
    </row>
    <row r="48" spans="1:6" x14ac:dyDescent="0.2">
      <c r="A48" s="14" t="s">
        <v>276</v>
      </c>
      <c r="B48" s="15" t="s">
        <v>55</v>
      </c>
      <c r="C48" s="15" t="s">
        <v>55</v>
      </c>
      <c r="D48" s="15">
        <v>-1.1000000000000001</v>
      </c>
      <c r="E48" s="15">
        <v>22134.799999999999</v>
      </c>
      <c r="F48" s="15">
        <v>3631.8</v>
      </c>
    </row>
    <row r="49" spans="1:6" x14ac:dyDescent="0.2">
      <c r="A49" s="14" t="s">
        <v>277</v>
      </c>
      <c r="B49" s="15">
        <v>12.5</v>
      </c>
      <c r="C49" s="15" t="s">
        <v>55</v>
      </c>
      <c r="D49" s="15" t="s">
        <v>55</v>
      </c>
      <c r="E49" s="15">
        <v>-12.5</v>
      </c>
      <c r="F49" s="15" t="s">
        <v>55</v>
      </c>
    </row>
    <row r="50" spans="1:6" x14ac:dyDescent="0.2">
      <c r="A50" s="14" t="s">
        <v>279</v>
      </c>
      <c r="B50" s="15" t="s">
        <v>55</v>
      </c>
      <c r="C50" s="15" t="s">
        <v>55</v>
      </c>
      <c r="D50" s="15" t="s">
        <v>55</v>
      </c>
      <c r="E50" s="15">
        <v>-3401.2</v>
      </c>
      <c r="F50" s="15" t="s">
        <v>55</v>
      </c>
    </row>
    <row r="51" spans="1:6" ht="27" customHeight="1" x14ac:dyDescent="0.2">
      <c r="A51" s="14" t="s">
        <v>280</v>
      </c>
      <c r="B51" s="15" t="s">
        <v>55</v>
      </c>
      <c r="C51" s="15">
        <v>15460.6</v>
      </c>
      <c r="D51" s="15" t="s">
        <v>55</v>
      </c>
      <c r="E51" s="15">
        <v>-15460.6</v>
      </c>
      <c r="F51" s="15" t="s">
        <v>55</v>
      </c>
    </row>
    <row r="52" spans="1:6" x14ac:dyDescent="0.2">
      <c r="A52" s="14" t="s">
        <v>285</v>
      </c>
      <c r="B52" s="15" t="s">
        <v>55</v>
      </c>
      <c r="C52" s="15">
        <v>-142.19999999999999</v>
      </c>
      <c r="D52" s="15" t="s">
        <v>55</v>
      </c>
      <c r="E52" s="15">
        <v>-14</v>
      </c>
      <c r="F52" s="15" t="s">
        <v>55</v>
      </c>
    </row>
    <row r="53" spans="1:6" x14ac:dyDescent="0.2">
      <c r="A53" s="14" t="s">
        <v>286</v>
      </c>
      <c r="B53" s="15">
        <v>-1440</v>
      </c>
      <c r="C53" s="15" t="s">
        <v>55</v>
      </c>
      <c r="D53" s="15" t="s">
        <v>55</v>
      </c>
      <c r="E53" s="15" t="s">
        <v>55</v>
      </c>
      <c r="F53" s="15" t="s">
        <v>55</v>
      </c>
    </row>
    <row r="54" spans="1:6" x14ac:dyDescent="0.2">
      <c r="A54" s="14" t="s">
        <v>282</v>
      </c>
      <c r="B54" s="15" t="s">
        <v>55</v>
      </c>
      <c r="C54" s="15" t="s">
        <v>55</v>
      </c>
      <c r="D54" s="15" t="s">
        <v>55</v>
      </c>
      <c r="E54" s="15" t="s">
        <v>55</v>
      </c>
      <c r="F54" s="15">
        <v>5769.5</v>
      </c>
    </row>
    <row r="55" spans="1:6" x14ac:dyDescent="0.2">
      <c r="A55" s="14" t="s">
        <v>283</v>
      </c>
      <c r="B55" s="15" t="s">
        <v>55</v>
      </c>
      <c r="C55" s="15" t="s">
        <v>55</v>
      </c>
      <c r="D55" s="15" t="s">
        <v>55</v>
      </c>
      <c r="E55" s="15" t="s">
        <v>55</v>
      </c>
      <c r="F55" s="15">
        <v>-688.3</v>
      </c>
    </row>
    <row r="56" spans="1:6" x14ac:dyDescent="0.2">
      <c r="A56" s="13" t="s">
        <v>214</v>
      </c>
      <c r="B56" s="17">
        <v>4196.2</v>
      </c>
      <c r="C56" s="17">
        <v>203433.60000000001</v>
      </c>
      <c r="D56" s="17" t="s">
        <v>55</v>
      </c>
      <c r="E56" s="17">
        <v>8054.1</v>
      </c>
      <c r="F56" s="17">
        <v>36179.199999999997</v>
      </c>
    </row>
    <row r="57" spans="1:6" x14ac:dyDescent="0.2">
      <c r="A57" s="3" t="s">
        <v>250</v>
      </c>
      <c r="B57" s="12"/>
      <c r="C57" s="12"/>
      <c r="D57" s="12"/>
      <c r="E57" s="12"/>
      <c r="F57" s="12"/>
    </row>
    <row r="58" spans="1:6" x14ac:dyDescent="0.2">
      <c r="A58" s="13" t="s">
        <v>270</v>
      </c>
    </row>
    <row r="59" spans="1:6" x14ac:dyDescent="0.2">
      <c r="A59" s="14" t="s">
        <v>287</v>
      </c>
      <c r="B59" s="15">
        <v>-1711.4</v>
      </c>
      <c r="C59" s="15" t="s">
        <v>55</v>
      </c>
      <c r="D59" s="15" t="s">
        <v>55</v>
      </c>
      <c r="E59" s="15" t="s">
        <v>55</v>
      </c>
      <c r="F59" s="15" t="s">
        <v>55</v>
      </c>
    </row>
    <row r="60" spans="1:6" x14ac:dyDescent="0.2">
      <c r="A60" s="14" t="s">
        <v>272</v>
      </c>
      <c r="B60" s="15" t="s">
        <v>55</v>
      </c>
      <c r="C60" s="15" t="s">
        <v>55</v>
      </c>
      <c r="D60" s="15" t="s">
        <v>55</v>
      </c>
      <c r="E60" s="15">
        <v>-2090.1999999999998</v>
      </c>
      <c r="F60" s="15" t="s">
        <v>55</v>
      </c>
    </row>
    <row r="61" spans="1:6" x14ac:dyDescent="0.2">
      <c r="A61" s="14" t="s">
        <v>173</v>
      </c>
      <c r="B61" s="15" t="s">
        <v>55</v>
      </c>
      <c r="C61" s="15">
        <v>-503.7</v>
      </c>
      <c r="D61" s="15" t="s">
        <v>55</v>
      </c>
      <c r="E61" s="15" t="s">
        <v>55</v>
      </c>
      <c r="F61" s="15" t="s">
        <v>55</v>
      </c>
    </row>
    <row r="62" spans="1:6" x14ac:dyDescent="0.2">
      <c r="A62" s="14" t="s">
        <v>273</v>
      </c>
      <c r="B62" s="15" t="s">
        <v>55</v>
      </c>
      <c r="C62" s="15" t="s">
        <v>55</v>
      </c>
      <c r="D62" s="15" t="s">
        <v>55</v>
      </c>
      <c r="E62" s="15" t="s">
        <v>55</v>
      </c>
      <c r="F62" s="15">
        <v>-13288.9</v>
      </c>
    </row>
    <row r="63" spans="1:6" x14ac:dyDescent="0.2">
      <c r="A63" s="13" t="s">
        <v>274</v>
      </c>
    </row>
    <row r="64" spans="1:6" x14ac:dyDescent="0.2">
      <c r="A64" s="14" t="s">
        <v>288</v>
      </c>
      <c r="B64" s="15" t="s">
        <v>55</v>
      </c>
      <c r="C64" s="15" t="s">
        <v>55</v>
      </c>
      <c r="D64" s="15" t="s">
        <v>55</v>
      </c>
      <c r="E64" s="15">
        <v>20805</v>
      </c>
      <c r="F64" s="15">
        <v>3738.4</v>
      </c>
    </row>
    <row r="65" spans="1:6" x14ac:dyDescent="0.2">
      <c r="A65" s="14" t="s">
        <v>277</v>
      </c>
      <c r="B65" s="15">
        <v>1.2</v>
      </c>
      <c r="C65" s="15" t="s">
        <v>55</v>
      </c>
      <c r="D65" s="15" t="s">
        <v>55</v>
      </c>
      <c r="E65" s="15">
        <v>-1.2</v>
      </c>
      <c r="F65" s="15" t="s">
        <v>55</v>
      </c>
    </row>
    <row r="66" spans="1:6" x14ac:dyDescent="0.2">
      <c r="A66" s="14" t="s">
        <v>279</v>
      </c>
      <c r="B66" s="15" t="s">
        <v>55</v>
      </c>
      <c r="C66" s="15" t="s">
        <v>55</v>
      </c>
      <c r="D66" s="15" t="s">
        <v>55</v>
      </c>
      <c r="E66" s="15">
        <v>-1181.8</v>
      </c>
      <c r="F66" s="15" t="s">
        <v>55</v>
      </c>
    </row>
    <row r="67" spans="1:6" ht="27" customHeight="1" x14ac:dyDescent="0.2">
      <c r="A67" s="14" t="s">
        <v>289</v>
      </c>
      <c r="B67" s="15" t="s">
        <v>55</v>
      </c>
      <c r="C67" s="15">
        <v>24813.1</v>
      </c>
      <c r="D67" s="15" t="s">
        <v>55</v>
      </c>
      <c r="E67" s="15">
        <v>-24813.1</v>
      </c>
      <c r="F67" s="15" t="s">
        <v>55</v>
      </c>
    </row>
    <row r="68" spans="1:6" ht="27" customHeight="1" x14ac:dyDescent="0.2">
      <c r="A68" s="14" t="s">
        <v>255</v>
      </c>
      <c r="B68" s="15" t="s">
        <v>55</v>
      </c>
      <c r="C68" s="15">
        <v>-36950</v>
      </c>
      <c r="D68" s="15" t="s">
        <v>55</v>
      </c>
      <c r="E68" s="15" t="s">
        <v>55</v>
      </c>
      <c r="F68" s="15" t="s">
        <v>55</v>
      </c>
    </row>
    <row r="69" spans="1:6" x14ac:dyDescent="0.2">
      <c r="A69" s="14" t="s">
        <v>290</v>
      </c>
      <c r="B69" s="15" t="s">
        <v>55</v>
      </c>
      <c r="C69" s="15">
        <v>3177.2</v>
      </c>
      <c r="D69" s="15" t="s">
        <v>55</v>
      </c>
      <c r="E69" s="15" t="s">
        <v>55</v>
      </c>
      <c r="F69" s="15" t="s">
        <v>55</v>
      </c>
    </row>
    <row r="70" spans="1:6" x14ac:dyDescent="0.2">
      <c r="A70" s="14" t="s">
        <v>291</v>
      </c>
      <c r="B70" s="15" t="s">
        <v>55</v>
      </c>
      <c r="C70" s="15" t="s">
        <v>55</v>
      </c>
      <c r="D70" s="15" t="s">
        <v>55</v>
      </c>
      <c r="E70" s="15">
        <v>186.7</v>
      </c>
      <c r="F70" s="15" t="s">
        <v>55</v>
      </c>
    </row>
    <row r="71" spans="1:6" x14ac:dyDescent="0.2">
      <c r="A71" s="14" t="s">
        <v>216</v>
      </c>
      <c r="B71" s="15">
        <v>-160</v>
      </c>
      <c r="C71" s="15" t="s">
        <v>55</v>
      </c>
      <c r="D71" s="15" t="s">
        <v>55</v>
      </c>
      <c r="E71" s="15" t="s">
        <v>55</v>
      </c>
      <c r="F71" s="15" t="s">
        <v>55</v>
      </c>
    </row>
    <row r="72" spans="1:6" x14ac:dyDescent="0.2">
      <c r="A72" s="14" t="s">
        <v>282</v>
      </c>
      <c r="B72" s="15" t="s">
        <v>55</v>
      </c>
      <c r="C72" s="15" t="s">
        <v>55</v>
      </c>
      <c r="D72" s="15" t="s">
        <v>55</v>
      </c>
      <c r="E72" s="15" t="s">
        <v>55</v>
      </c>
      <c r="F72" s="15">
        <v>10916.5</v>
      </c>
    </row>
    <row r="73" spans="1:6" x14ac:dyDescent="0.2">
      <c r="A73" s="14" t="s">
        <v>283</v>
      </c>
      <c r="B73" s="15" t="s">
        <v>55</v>
      </c>
      <c r="C73" s="15" t="s">
        <v>55</v>
      </c>
      <c r="D73" s="15" t="s">
        <v>55</v>
      </c>
      <c r="E73" s="15" t="s">
        <v>55</v>
      </c>
      <c r="F73" s="15">
        <v>-612.70000000000005</v>
      </c>
    </row>
    <row r="74" spans="1:6" x14ac:dyDescent="0.2">
      <c r="A74" s="13" t="s">
        <v>218</v>
      </c>
      <c r="B74" s="17">
        <v>2326</v>
      </c>
      <c r="C74" s="17">
        <v>193970.2</v>
      </c>
      <c r="D74" s="17" t="s">
        <v>55</v>
      </c>
      <c r="E74" s="17">
        <v>959.5</v>
      </c>
      <c r="F74" s="17">
        <v>36932.5</v>
      </c>
    </row>
    <row r="75" spans="1:6" ht="27" customHeight="1" x14ac:dyDescent="0.2">
      <c r="A75" s="3" t="s">
        <v>292</v>
      </c>
      <c r="B75" s="12"/>
      <c r="C75" s="12"/>
      <c r="D75" s="12"/>
      <c r="E75" s="12"/>
      <c r="F75" s="12"/>
    </row>
    <row r="76" spans="1:6" ht="27" customHeight="1" x14ac:dyDescent="0.2">
      <c r="A76" s="13" t="s">
        <v>293</v>
      </c>
      <c r="B76" s="17">
        <v>2326</v>
      </c>
      <c r="C76" s="17">
        <v>193970</v>
      </c>
      <c r="E76" s="17">
        <v>960</v>
      </c>
      <c r="F76" s="17">
        <v>36933</v>
      </c>
    </row>
    <row r="77" spans="1:6" x14ac:dyDescent="0.2">
      <c r="A77" s="13" t="s">
        <v>270</v>
      </c>
    </row>
    <row r="78" spans="1:6" x14ac:dyDescent="0.2">
      <c r="A78" s="14" t="s">
        <v>294</v>
      </c>
      <c r="B78" s="15">
        <v>3271</v>
      </c>
      <c r="C78" s="15" t="s">
        <v>55</v>
      </c>
      <c r="E78" s="15" t="s">
        <v>55</v>
      </c>
      <c r="F78" s="15" t="s">
        <v>55</v>
      </c>
    </row>
    <row r="79" spans="1:6" x14ac:dyDescent="0.2">
      <c r="A79" s="14" t="s">
        <v>295</v>
      </c>
      <c r="B79" s="15">
        <v>-1600</v>
      </c>
      <c r="C79" s="15" t="s">
        <v>55</v>
      </c>
      <c r="E79" s="15" t="s">
        <v>55</v>
      </c>
      <c r="F79" s="15" t="s">
        <v>55</v>
      </c>
    </row>
    <row r="80" spans="1:6" x14ac:dyDescent="0.2">
      <c r="A80" s="14" t="s">
        <v>296</v>
      </c>
      <c r="B80" s="15" t="s">
        <v>55</v>
      </c>
      <c r="C80" s="15">
        <v>-124</v>
      </c>
      <c r="E80" s="15" t="s">
        <v>55</v>
      </c>
      <c r="F80" s="15" t="s">
        <v>55</v>
      </c>
    </row>
    <row r="81" spans="1:6" x14ac:dyDescent="0.2">
      <c r="A81" s="14" t="s">
        <v>272</v>
      </c>
      <c r="B81" s="15" t="s">
        <v>55</v>
      </c>
      <c r="C81" s="15" t="s">
        <v>55</v>
      </c>
      <c r="E81" s="15">
        <v>-2780</v>
      </c>
      <c r="F81" s="15" t="s">
        <v>55</v>
      </c>
    </row>
    <row r="82" spans="1:6" x14ac:dyDescent="0.2">
      <c r="A82" s="14" t="s">
        <v>173</v>
      </c>
      <c r="B82" s="15" t="s">
        <v>55</v>
      </c>
      <c r="C82" s="15">
        <v>-589</v>
      </c>
      <c r="E82" s="15" t="s">
        <v>55</v>
      </c>
      <c r="F82" s="15" t="s">
        <v>55</v>
      </c>
    </row>
    <row r="83" spans="1:6" x14ac:dyDescent="0.2">
      <c r="A83" s="14" t="s">
        <v>273</v>
      </c>
      <c r="B83" s="15" t="s">
        <v>55</v>
      </c>
      <c r="C83" s="15" t="s">
        <v>55</v>
      </c>
      <c r="E83" s="15" t="s">
        <v>55</v>
      </c>
      <c r="F83" s="15">
        <v>-10223</v>
      </c>
    </row>
    <row r="84" spans="1:6" x14ac:dyDescent="0.2">
      <c r="A84" s="13" t="s">
        <v>274</v>
      </c>
    </row>
    <row r="85" spans="1:6" x14ac:dyDescent="0.2">
      <c r="A85" s="14" t="s">
        <v>288</v>
      </c>
      <c r="B85" s="15" t="s">
        <v>55</v>
      </c>
      <c r="C85" s="15" t="s">
        <v>55</v>
      </c>
      <c r="E85" s="15">
        <v>17206</v>
      </c>
      <c r="F85" s="15">
        <v>4289</v>
      </c>
    </row>
    <row r="86" spans="1:6" x14ac:dyDescent="0.2">
      <c r="A86" s="14" t="s">
        <v>297</v>
      </c>
      <c r="B86" s="15" t="s">
        <v>55</v>
      </c>
      <c r="C86" s="15">
        <v>-55622</v>
      </c>
      <c r="E86" s="15" t="s">
        <v>55</v>
      </c>
      <c r="F86" s="15" t="s">
        <v>55</v>
      </c>
    </row>
    <row r="87" spans="1:6" x14ac:dyDescent="0.2">
      <c r="A87" s="14" t="s">
        <v>277</v>
      </c>
      <c r="B87" s="15">
        <v>4</v>
      </c>
      <c r="C87" s="15" t="s">
        <v>55</v>
      </c>
      <c r="E87" s="15">
        <v>-4</v>
      </c>
      <c r="F87" s="15" t="s">
        <v>55</v>
      </c>
    </row>
    <row r="88" spans="1:6" x14ac:dyDescent="0.2">
      <c r="A88" s="14" t="s">
        <v>279</v>
      </c>
      <c r="B88" s="15" t="s">
        <v>55</v>
      </c>
      <c r="C88" s="15" t="s">
        <v>55</v>
      </c>
      <c r="E88" s="15">
        <v>-654</v>
      </c>
      <c r="F88" s="15" t="s">
        <v>55</v>
      </c>
    </row>
    <row r="89" spans="1:6" ht="27" customHeight="1" x14ac:dyDescent="0.2">
      <c r="A89" s="14" t="s">
        <v>298</v>
      </c>
      <c r="B89" s="15" t="s">
        <v>55</v>
      </c>
      <c r="C89" s="15">
        <v>7819</v>
      </c>
      <c r="E89" s="15">
        <v>-7819</v>
      </c>
      <c r="F89" s="15" t="s">
        <v>55</v>
      </c>
    </row>
    <row r="90" spans="1:6" x14ac:dyDescent="0.2">
      <c r="A90" s="14" t="s">
        <v>299</v>
      </c>
      <c r="B90" s="15" t="s">
        <v>55</v>
      </c>
      <c r="C90" s="15" t="s">
        <v>55</v>
      </c>
      <c r="E90" s="15">
        <v>377</v>
      </c>
      <c r="F90" s="15" t="s">
        <v>55</v>
      </c>
    </row>
    <row r="91" spans="1:6" x14ac:dyDescent="0.2">
      <c r="A91" s="14" t="s">
        <v>282</v>
      </c>
      <c r="B91" s="15" t="s">
        <v>55</v>
      </c>
      <c r="C91" s="15" t="s">
        <v>55</v>
      </c>
      <c r="E91" s="15" t="s">
        <v>55</v>
      </c>
      <c r="F91" s="15">
        <v>12823</v>
      </c>
    </row>
    <row r="92" spans="1:6" x14ac:dyDescent="0.2">
      <c r="A92" s="14" t="s">
        <v>283</v>
      </c>
      <c r="B92" s="15" t="s">
        <v>55</v>
      </c>
      <c r="C92" s="15" t="s">
        <v>55</v>
      </c>
      <c r="E92" s="15" t="s">
        <v>55</v>
      </c>
      <c r="F92" s="15">
        <v>-749</v>
      </c>
    </row>
    <row r="93" spans="1:6" x14ac:dyDescent="0.2">
      <c r="A93" s="13" t="s">
        <v>220</v>
      </c>
      <c r="B93" s="18">
        <v>4001</v>
      </c>
      <c r="C93" s="18">
        <v>145454</v>
      </c>
      <c r="E93" s="18">
        <v>7286</v>
      </c>
      <c r="F93" s="18">
        <v>43073</v>
      </c>
    </row>
    <row r="95" spans="1:6" x14ac:dyDescent="0.2">
      <c r="A95" s="9" t="s">
        <v>300</v>
      </c>
    </row>
    <row r="96" spans="1:6" x14ac:dyDescent="0.2">
      <c r="A96" s="9" t="s">
        <v>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8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8.6640625" defaultRowHeight="15" x14ac:dyDescent="0.2"/>
  <cols>
    <col min="1" max="1" width="90" customWidth="1"/>
    <col min="2" max="6" width="14" customWidth="1"/>
    <col min="7" max="7" width="10" customWidth="1"/>
  </cols>
  <sheetData>
    <row r="1" spans="1:7" ht="16" x14ac:dyDescent="0.2">
      <c r="A1" s="4" t="s">
        <v>21</v>
      </c>
    </row>
    <row r="2" spans="1:7" x14ac:dyDescent="0.2">
      <c r="A2" s="5" t="s">
        <v>301</v>
      </c>
    </row>
    <row r="3" spans="1:7" x14ac:dyDescent="0.2">
      <c r="A3" s="6" t="s">
        <v>302</v>
      </c>
    </row>
    <row r="4" spans="1:7" x14ac:dyDescent="0.2">
      <c r="A4" s="5" t="s">
        <v>303</v>
      </c>
      <c r="B4" s="5" t="str">
        <f>IF(COUNTIF(G8:G65,"CHECK")=0,"All checks passed","Review flagged rows")</f>
        <v>All checks passed</v>
      </c>
    </row>
    <row r="6" spans="1:7" ht="21.75" customHeight="1" x14ac:dyDescent="0.2">
      <c r="A6" s="7" t="s">
        <v>304</v>
      </c>
      <c r="B6" s="8" t="s">
        <v>305</v>
      </c>
      <c r="C6" s="8" t="s">
        <v>306</v>
      </c>
      <c r="D6" s="8" t="s">
        <v>307</v>
      </c>
      <c r="E6" s="8" t="s">
        <v>308</v>
      </c>
      <c r="F6" s="8" t="s">
        <v>309</v>
      </c>
      <c r="G6" s="8" t="s">
        <v>310</v>
      </c>
    </row>
    <row r="7" spans="1:7" x14ac:dyDescent="0.2">
      <c r="A7" s="25" t="s">
        <v>311</v>
      </c>
      <c r="B7" s="12"/>
      <c r="C7" s="12"/>
      <c r="D7" s="12"/>
      <c r="E7" s="12"/>
      <c r="F7" s="12"/>
      <c r="G7" s="12"/>
    </row>
    <row r="8" spans="1:7" x14ac:dyDescent="0.2">
      <c r="A8" s="14" t="s">
        <v>51</v>
      </c>
      <c r="B8" s="26">
        <f>ROUND((SUM('Balance Sheet'!B10:B18))-N('Balance Sheet'!B19),1)</f>
        <v>0</v>
      </c>
      <c r="C8" s="26">
        <f>ROUND((SUM('Balance Sheet'!C10:C18))-N('Balance Sheet'!C19),1)</f>
        <v>0</v>
      </c>
      <c r="D8" s="26">
        <f>ROUND((SUM('Balance Sheet'!D10:D18))-N('Balance Sheet'!D19),1)</f>
        <v>0</v>
      </c>
      <c r="E8" s="26">
        <f>ROUND((SUM('Balance Sheet'!E10:E18))-N('Balance Sheet'!E19),1)</f>
        <v>0</v>
      </c>
      <c r="F8" s="26">
        <f>ROUND((SUM('Balance Sheet'!F10:F18))-N('Balance Sheet'!F19),1)</f>
        <v>0</v>
      </c>
      <c r="G8" s="27" t="str">
        <f t="shared" ref="G8:G15" si="0">IF(AND(OR(B8="",B8=0),OR(C8="",C8=0),OR(D8="",D8=0),OR(E8="",E8=0),OR(F8="",F8=0)),"OK","CHECK")</f>
        <v>OK</v>
      </c>
    </row>
    <row r="9" spans="1:7" x14ac:dyDescent="0.2">
      <c r="A9" s="14" t="s">
        <v>62</v>
      </c>
      <c r="B9" s="26">
        <f>ROUND((SUM('Balance Sheet'!B21:B29))-N('Balance Sheet'!B30),1)</f>
        <v>0</v>
      </c>
      <c r="C9" s="26">
        <f>ROUND((SUM('Balance Sheet'!C21:C29))-N('Balance Sheet'!C30),1)</f>
        <v>0</v>
      </c>
      <c r="D9" s="26">
        <f>ROUND((SUM('Balance Sheet'!D21:D29))-N('Balance Sheet'!D30),1)</f>
        <v>0</v>
      </c>
      <c r="E9" s="26">
        <f>ROUND((SUM('Balance Sheet'!E21:E29))-N('Balance Sheet'!E30),1)</f>
        <v>0</v>
      </c>
      <c r="F9" s="26">
        <f>ROUND((SUM('Balance Sheet'!F21:F29))-N('Balance Sheet'!F30),1)</f>
        <v>0</v>
      </c>
      <c r="G9" s="27" t="str">
        <f t="shared" si="0"/>
        <v>OK</v>
      </c>
    </row>
    <row r="10" spans="1:7" x14ac:dyDescent="0.2">
      <c r="A10" s="14" t="s">
        <v>64</v>
      </c>
      <c r="B10" s="26">
        <f>ROUND((N('Balance Sheet'!B19)+N('Balance Sheet'!B30)+N('Balance Sheet'!B31))-N('Balance Sheet'!B32),1)</f>
        <v>0</v>
      </c>
      <c r="C10" s="26">
        <f>ROUND((N('Balance Sheet'!C19)+N('Balance Sheet'!C30)+N('Balance Sheet'!C31))-N('Balance Sheet'!C32),1)</f>
        <v>0</v>
      </c>
      <c r="D10" s="26">
        <f>ROUND((N('Balance Sheet'!D19)+N('Balance Sheet'!D30)+N('Balance Sheet'!D31))-N('Balance Sheet'!D32),1)</f>
        <v>0</v>
      </c>
      <c r="E10" s="26">
        <f>ROUND((N('Balance Sheet'!E19)+N('Balance Sheet'!E30)+N('Balance Sheet'!E31))-N('Balance Sheet'!E32),1)</f>
        <v>0</v>
      </c>
      <c r="F10" s="26">
        <f>ROUND((N('Balance Sheet'!F19)+N('Balance Sheet'!F30)+N('Balance Sheet'!F31))-N('Balance Sheet'!F32),1)</f>
        <v>0</v>
      </c>
      <c r="G10" s="27" t="str">
        <f t="shared" si="0"/>
        <v>OK</v>
      </c>
    </row>
    <row r="11" spans="1:7" x14ac:dyDescent="0.2">
      <c r="A11" s="14" t="s">
        <v>69</v>
      </c>
      <c r="B11" s="26">
        <f>ROUND((N('Balance Sheet'!B36)+N('Balance Sheet'!B37))-N('Balance Sheet'!B38),1)</f>
        <v>0</v>
      </c>
      <c r="C11" s="26">
        <f>ROUND((N('Balance Sheet'!C36)+N('Balance Sheet'!C37))-N('Balance Sheet'!C38),1)</f>
        <v>0</v>
      </c>
      <c r="D11" s="26">
        <f>ROUND((N('Balance Sheet'!D36)+N('Balance Sheet'!D37))-N('Balance Sheet'!D38),1)</f>
        <v>0</v>
      </c>
      <c r="E11" s="26">
        <f>ROUND((N('Balance Sheet'!E36)+N('Balance Sheet'!E37))-N('Balance Sheet'!E38),1)</f>
        <v>0</v>
      </c>
      <c r="F11" s="26">
        <f>ROUND((N('Balance Sheet'!F36)+N('Balance Sheet'!F37))-N('Balance Sheet'!F38),1)</f>
        <v>0</v>
      </c>
      <c r="G11" s="27" t="str">
        <f t="shared" si="0"/>
        <v>OK</v>
      </c>
    </row>
    <row r="12" spans="1:7" x14ac:dyDescent="0.2">
      <c r="A12" s="14" t="s">
        <v>82</v>
      </c>
      <c r="B12" s="26">
        <f>ROUND((SUM('Balance Sheet'!B43:B50))-N('Balance Sheet'!B51),1)</f>
        <v>0</v>
      </c>
      <c r="C12" s="26">
        <f>ROUND((SUM('Balance Sheet'!C43:C50))-N('Balance Sheet'!C51),1)</f>
        <v>0</v>
      </c>
      <c r="D12" s="26">
        <f>ROUND((SUM('Balance Sheet'!D43:D50))-N('Balance Sheet'!D51),1)</f>
        <v>0</v>
      </c>
      <c r="E12" s="26">
        <f>ROUND((SUM('Balance Sheet'!E43:E50))-N('Balance Sheet'!E51),1)</f>
        <v>0</v>
      </c>
      <c r="F12" s="26">
        <f>ROUND((SUM('Balance Sheet'!F43:F50))-N('Balance Sheet'!F51),1)</f>
        <v>0</v>
      </c>
      <c r="G12" s="27" t="str">
        <f t="shared" si="0"/>
        <v>OK</v>
      </c>
    </row>
    <row r="13" spans="1:7" x14ac:dyDescent="0.2">
      <c r="A13" s="14" t="s">
        <v>91</v>
      </c>
      <c r="B13" s="26">
        <f>ROUND((SUM('Balance Sheet'!B54:B62))-N('Balance Sheet'!B63),1)</f>
        <v>0</v>
      </c>
      <c r="C13" s="26">
        <f>ROUND((SUM('Balance Sheet'!C54:C62))-N('Balance Sheet'!C63),1)</f>
        <v>0</v>
      </c>
      <c r="D13" s="26">
        <f>ROUND((SUM('Balance Sheet'!D54:D62))-N('Balance Sheet'!D63),1)</f>
        <v>0</v>
      </c>
      <c r="E13" s="26">
        <f>ROUND((SUM('Balance Sheet'!E54:E62))-N('Balance Sheet'!E63),1)</f>
        <v>0</v>
      </c>
      <c r="F13" s="26">
        <f>ROUND((SUM('Balance Sheet'!F54:F62))-N('Balance Sheet'!F63),1)</f>
        <v>0</v>
      </c>
      <c r="G13" s="27" t="str">
        <f t="shared" si="0"/>
        <v>OK</v>
      </c>
    </row>
    <row r="14" spans="1:7" x14ac:dyDescent="0.2">
      <c r="A14" s="14" t="s">
        <v>92</v>
      </c>
      <c r="B14" s="26">
        <f>ROUND((N('Balance Sheet'!B38)+N('Balance Sheet'!B51)+N('Balance Sheet'!B63))-N('Balance Sheet'!B64),1)</f>
        <v>0</v>
      </c>
      <c r="C14" s="26">
        <f>ROUND((N('Balance Sheet'!C38)+N('Balance Sheet'!C51)+N('Balance Sheet'!C63))-N('Balance Sheet'!C64),1)</f>
        <v>0</v>
      </c>
      <c r="D14" s="26">
        <f>ROUND((N('Balance Sheet'!D38)+N('Balance Sheet'!D51)+N('Balance Sheet'!D63))-N('Balance Sheet'!D64),1)</f>
        <v>0</v>
      </c>
      <c r="E14" s="26">
        <f>ROUND((N('Balance Sheet'!E38)+N('Balance Sheet'!E51)+N('Balance Sheet'!E63))-N('Balance Sheet'!E64),1)</f>
        <v>0</v>
      </c>
      <c r="F14" s="26">
        <f>ROUND((N('Balance Sheet'!F38)+N('Balance Sheet'!F51)+N('Balance Sheet'!F63))-N('Balance Sheet'!F64),1)</f>
        <v>0</v>
      </c>
      <c r="G14" s="27" t="str">
        <f t="shared" si="0"/>
        <v>OK</v>
      </c>
    </row>
    <row r="15" spans="1:7" x14ac:dyDescent="0.2">
      <c r="A15" s="14" t="s">
        <v>312</v>
      </c>
      <c r="B15" s="26">
        <f>ROUND(N('Balance Sheet'!B32)-N('Balance Sheet'!B64),1)</f>
        <v>0</v>
      </c>
      <c r="C15" s="26">
        <f>ROUND(N('Balance Sheet'!C32)-N('Balance Sheet'!C64),1)</f>
        <v>0</v>
      </c>
      <c r="D15" s="26">
        <f>ROUND(N('Balance Sheet'!D32)-N('Balance Sheet'!D64),1)</f>
        <v>0</v>
      </c>
      <c r="E15" s="26">
        <f>ROUND(N('Balance Sheet'!E32)-N('Balance Sheet'!E64),1)</f>
        <v>0</v>
      </c>
      <c r="F15" s="26">
        <f>ROUND(N('Balance Sheet'!F32)-N('Balance Sheet'!F64),1)</f>
        <v>0</v>
      </c>
      <c r="G15" s="27" t="str">
        <f t="shared" si="0"/>
        <v>OK</v>
      </c>
    </row>
    <row r="16" spans="1:7" x14ac:dyDescent="0.2">
      <c r="A16" s="25" t="s">
        <v>313</v>
      </c>
      <c r="B16" s="12"/>
      <c r="C16" s="12"/>
      <c r="D16" s="12"/>
      <c r="E16" s="12"/>
      <c r="F16" s="12"/>
      <c r="G16" s="12"/>
    </row>
    <row r="17" spans="1:7" x14ac:dyDescent="0.2">
      <c r="A17" s="14" t="s">
        <v>107</v>
      </c>
      <c r="B17" s="26">
        <f>ROUND((SUM('Profit and Loss'!B9:B11))-N('Profit and Loss'!B12),1)</f>
        <v>0</v>
      </c>
      <c r="C17" s="26">
        <f>ROUND((SUM('Profit and Loss'!C9:C11))-N('Profit and Loss'!C12),1)</f>
        <v>0</v>
      </c>
      <c r="D17" s="26">
        <f>ROUND((SUM('Profit and Loss'!D9:D11))-N('Profit and Loss'!D12),1)</f>
        <v>0</v>
      </c>
      <c r="E17" s="26">
        <f>ROUND((SUM('Profit and Loss'!E9:E11))-N('Profit and Loss'!E12),1)</f>
        <v>0</v>
      </c>
      <c r="F17" s="26">
        <f>ROUND((SUM('Profit and Loss'!F9:F11))-N('Profit and Loss'!F12),1)</f>
        <v>0</v>
      </c>
      <c r="G17" s="27" t="str">
        <f t="shared" ref="G17:G26" si="1">IF(AND(OR(B17="",B17=0),OR(C17="",C17=0),OR(D17="",D17=0),OR(E17="",E17=0),OR(F17="",F17=0)),"OK","CHECK")</f>
        <v>OK</v>
      </c>
    </row>
    <row r="18" spans="1:7" x14ac:dyDescent="0.2">
      <c r="A18" s="14" t="s">
        <v>109</v>
      </c>
      <c r="B18" s="26">
        <f>ROUND((N('Profit and Loss'!B12)+N('Profit and Loss'!B13))-N('Profit and Loss'!B14),1)</f>
        <v>0</v>
      </c>
      <c r="C18" s="26">
        <f>ROUND((N('Profit and Loss'!C12)+N('Profit and Loss'!C13))-N('Profit and Loss'!C14),1)</f>
        <v>0</v>
      </c>
      <c r="D18" s="26">
        <f>ROUND((N('Profit and Loss'!D12)+N('Profit and Loss'!D13))-N('Profit and Loss'!D14),1)</f>
        <v>0</v>
      </c>
      <c r="E18" s="26">
        <f>ROUND((N('Profit and Loss'!E12)+N('Profit and Loss'!E13))-N('Profit and Loss'!E14),1)</f>
        <v>0</v>
      </c>
      <c r="F18" s="26">
        <f>ROUND((N('Profit and Loss'!F12)+N('Profit and Loss'!F13))-N('Profit and Loss'!F14),1)</f>
        <v>0</v>
      </c>
      <c r="G18" s="27" t="str">
        <f t="shared" si="1"/>
        <v>OK</v>
      </c>
    </row>
    <row r="19" spans="1:7" x14ac:dyDescent="0.2">
      <c r="A19" s="14" t="s">
        <v>314</v>
      </c>
      <c r="B19" s="26">
        <f>ROUND((SUM('Profit and Loss'!B16:B23))-N('Profit and Loss'!B24),1)</f>
        <v>0</v>
      </c>
      <c r="C19" s="26">
        <f>ROUND((SUM('Profit and Loss'!C16:C23))-N('Profit and Loss'!C24),1)</f>
        <v>0</v>
      </c>
      <c r="D19" s="26">
        <f>ROUND((SUM('Profit and Loss'!D16:D23))-N('Profit and Loss'!D24),1)</f>
        <v>0</v>
      </c>
      <c r="E19" s="26">
        <f>ROUND((SUM('Profit and Loss'!E16:E23))-N('Profit and Loss'!E24),1)</f>
        <v>0</v>
      </c>
      <c r="F19" s="26">
        <f>ROUND((SUM('Profit and Loss'!F16:F23))-N('Profit and Loss'!F24),1)</f>
        <v>0</v>
      </c>
      <c r="G19" s="27" t="str">
        <f t="shared" si="1"/>
        <v>OK</v>
      </c>
    </row>
    <row r="20" spans="1:7" ht="27" customHeight="1" x14ac:dyDescent="0.2">
      <c r="A20" s="14" t="s">
        <v>315</v>
      </c>
      <c r="B20" s="26">
        <f>ROUND((N('Profit and Loss'!B14)-N('Profit and Loss'!B24))-N('Profit and Loss'!B25),1)</f>
        <v>0</v>
      </c>
      <c r="C20" s="26">
        <f>ROUND((N('Profit and Loss'!C14)-N('Profit and Loss'!C24))-N('Profit and Loss'!C25),1)</f>
        <v>0</v>
      </c>
      <c r="D20" s="26">
        <f>ROUND((N('Profit and Loss'!D14)-N('Profit and Loss'!D24))-N('Profit and Loss'!D25),1)</f>
        <v>0</v>
      </c>
      <c r="E20" s="26">
        <f>ROUND((N('Profit and Loss'!E14)-N('Profit and Loss'!E24))-N('Profit and Loss'!E25),1)</f>
        <v>0</v>
      </c>
      <c r="F20" s="26">
        <f>ROUND((N('Profit and Loss'!F14)-N('Profit and Loss'!F24))-N('Profit and Loss'!F25),1)</f>
        <v>0</v>
      </c>
      <c r="G20" s="27" t="str">
        <f t="shared" si="1"/>
        <v>OK</v>
      </c>
    </row>
    <row r="21" spans="1:7" x14ac:dyDescent="0.2">
      <c r="A21" s="14" t="s">
        <v>316</v>
      </c>
      <c r="B21" s="26">
        <f>ROUND((N('Profit and Loss'!B25)-SUM('Profit and Loss'!B26:B28))-N('Profit and Loss'!B29),1)</f>
        <v>0</v>
      </c>
      <c r="C21" s="26">
        <f>ROUND((N('Profit and Loss'!C25)-SUM('Profit and Loss'!C26:C28))-N('Profit and Loss'!C29),1)</f>
        <v>0</v>
      </c>
      <c r="D21" s="26">
        <f>ROUND((N('Profit and Loss'!D25)-SUM('Profit and Loss'!D26:D28))-N('Profit and Loss'!D29),1)</f>
        <v>0</v>
      </c>
      <c r="E21" s="26">
        <f>ROUND((N('Profit and Loss'!E25)-SUM('Profit and Loss'!E26:E28))-N('Profit and Loss'!E29),1)</f>
        <v>0</v>
      </c>
      <c r="F21" s="26">
        <f>ROUND((N('Profit and Loss'!F25)-SUM('Profit and Loss'!F26:F28))-N('Profit and Loss'!F29),1)</f>
        <v>0</v>
      </c>
      <c r="G21" s="27" t="str">
        <f t="shared" si="1"/>
        <v>OK</v>
      </c>
    </row>
    <row r="22" spans="1:7" x14ac:dyDescent="0.2">
      <c r="A22" s="14" t="s">
        <v>126</v>
      </c>
      <c r="B22" s="26">
        <f>ROUND((N('Profit and Loss'!B29)+N('Profit and Loss'!B30))-N('Profit and Loss'!B31),1)</f>
        <v>0</v>
      </c>
      <c r="C22" s="26">
        <f>ROUND((N('Profit and Loss'!C29)+N('Profit and Loss'!C30))-N('Profit and Loss'!C31),1)</f>
        <v>0</v>
      </c>
      <c r="D22" s="26">
        <f>ROUND((N('Profit and Loss'!D29)+N('Profit and Loss'!D30))-N('Profit and Loss'!D31),1)</f>
        <v>0</v>
      </c>
      <c r="E22" s="26">
        <f>ROUND((N('Profit and Loss'!E29)+N('Profit and Loss'!E30))-N('Profit and Loss'!E31),1)</f>
        <v>0</v>
      </c>
      <c r="F22" s="26">
        <f>ROUND((N('Profit and Loss'!F29)+N('Profit and Loss'!F30))-N('Profit and Loss'!F31),1)</f>
        <v>0</v>
      </c>
      <c r="G22" s="27" t="str">
        <f t="shared" si="1"/>
        <v>OK</v>
      </c>
    </row>
    <row r="23" spans="1:7" x14ac:dyDescent="0.2">
      <c r="A23" s="14" t="s">
        <v>128</v>
      </c>
      <c r="B23" s="26">
        <f>ROUND((N('Profit and Loss'!B31)+N('Profit and Loss'!B32))-N('Profit and Loss'!B33),1)</f>
        <v>0</v>
      </c>
      <c r="C23" s="26">
        <f>ROUND((N('Profit and Loss'!C31)+N('Profit and Loss'!C32))-N('Profit and Loss'!C33),1)</f>
        <v>0</v>
      </c>
      <c r="D23" s="26">
        <f>ROUND((N('Profit and Loss'!D31)+N('Profit and Loss'!D32))-N('Profit and Loss'!D33),1)</f>
        <v>0</v>
      </c>
      <c r="E23" s="26">
        <f>ROUND((N('Profit and Loss'!E31)+N('Profit and Loss'!E32))-N('Profit and Loss'!E33),1)</f>
        <v>0</v>
      </c>
      <c r="F23" s="26">
        <f>ROUND((N('Profit and Loss'!F31)+N('Profit and Loss'!F32))-N('Profit and Loss'!F33),1)</f>
        <v>0</v>
      </c>
      <c r="G23" s="27" t="str">
        <f t="shared" si="1"/>
        <v>OK</v>
      </c>
    </row>
    <row r="24" spans="1:7" x14ac:dyDescent="0.2">
      <c r="A24" s="14" t="s">
        <v>132</v>
      </c>
      <c r="B24" s="26">
        <f>ROUND((N('Profit and Loss'!B33)-N('Profit and Loss'!B35)-N('Profit and Loss'!B36))-N('Profit and Loss'!B37),1)</f>
        <v>0</v>
      </c>
      <c r="C24" s="26">
        <f>ROUND((N('Profit and Loss'!C33)-N('Profit and Loss'!C35)-N('Profit and Loss'!C36))-N('Profit and Loss'!C37),1)</f>
        <v>0</v>
      </c>
      <c r="D24" s="26">
        <f>ROUND((N('Profit and Loss'!D33)-N('Profit and Loss'!D35)-N('Profit and Loss'!D36))-N('Profit and Loss'!D37),1)</f>
        <v>0</v>
      </c>
      <c r="E24" s="26">
        <f>ROUND((N('Profit and Loss'!E33)-N('Profit and Loss'!E35)-N('Profit and Loss'!E36))-N('Profit and Loss'!E37),1)</f>
        <v>0</v>
      </c>
      <c r="F24" s="26">
        <f>ROUND((N('Profit and Loss'!F33)-N('Profit and Loss'!F35)-N('Profit and Loss'!F36))-N('Profit and Loss'!F37),1)</f>
        <v>0</v>
      </c>
      <c r="G24" s="27" t="str">
        <f t="shared" si="1"/>
        <v>OK</v>
      </c>
    </row>
    <row r="25" spans="1:7" x14ac:dyDescent="0.2">
      <c r="A25" s="14" t="s">
        <v>317</v>
      </c>
      <c r="B25" s="26">
        <f>ROUND((N('Profit and Loss'!B41)+N('Profit and Loss'!B42))-N('Profit and Loss'!B43),1)</f>
        <v>0</v>
      </c>
      <c r="C25" s="26">
        <f>ROUND((N('Profit and Loss'!C41)+N('Profit and Loss'!C42))-N('Profit and Loss'!C43),1)</f>
        <v>0</v>
      </c>
      <c r="D25" s="26">
        <f>ROUND((N('Profit and Loss'!D41)+N('Profit and Loss'!D42))-N('Profit and Loss'!D43),1)</f>
        <v>0</v>
      </c>
      <c r="E25" s="26">
        <f>ROUND((N('Profit and Loss'!E41)+N('Profit and Loss'!E42))-N('Profit and Loss'!E43),1)</f>
        <v>0</v>
      </c>
      <c r="F25" s="26">
        <f>ROUND((N('Profit and Loss'!F41)+N('Profit and Loss'!F42))-N('Profit and Loss'!F43),1)</f>
        <v>0</v>
      </c>
      <c r="G25" s="27" t="str">
        <f t="shared" si="1"/>
        <v>OK</v>
      </c>
    </row>
    <row r="26" spans="1:7" x14ac:dyDescent="0.2">
      <c r="A26" s="14" t="s">
        <v>138</v>
      </c>
      <c r="B26" s="26">
        <f>ROUND((N('Profit and Loss'!B37)+N('Profit and Loss'!B43))-N('Profit and Loss'!B44),1)</f>
        <v>0</v>
      </c>
      <c r="C26" s="26">
        <f>ROUND((N('Profit and Loss'!C37)+N('Profit and Loss'!C43))-N('Profit and Loss'!C44),1)</f>
        <v>0</v>
      </c>
      <c r="D26" s="26">
        <f>ROUND((N('Profit and Loss'!D37)+N('Profit and Loss'!D43))-N('Profit and Loss'!D44),1)</f>
        <v>0</v>
      </c>
      <c r="E26" s="26">
        <f>ROUND((N('Profit and Loss'!E37)+N('Profit and Loss'!E43))-N('Profit and Loss'!E44),1)</f>
        <v>0</v>
      </c>
      <c r="F26" s="26">
        <f>ROUND((N('Profit and Loss'!F37)+N('Profit and Loss'!F43))-N('Profit and Loss'!F44),1)</f>
        <v>0</v>
      </c>
      <c r="G26" s="27" t="str">
        <f t="shared" si="1"/>
        <v>OK</v>
      </c>
    </row>
    <row r="27" spans="1:7" x14ac:dyDescent="0.2">
      <c r="A27" s="25" t="s">
        <v>318</v>
      </c>
      <c r="B27" s="12"/>
      <c r="C27" s="12"/>
      <c r="D27" s="12"/>
      <c r="E27" s="12"/>
      <c r="F27" s="12"/>
      <c r="G27" s="12"/>
    </row>
    <row r="28" spans="1:7" x14ac:dyDescent="0.2">
      <c r="A28" s="14" t="s">
        <v>167</v>
      </c>
      <c r="B28" s="26">
        <f>ROUND((N('Cash Flows'!B9)+SUM('Cash Flows'!B11:B33))-N('Cash Flows'!B34),1)</f>
        <v>0</v>
      </c>
      <c r="C28" s="26">
        <f>ROUND((N('Cash Flows'!C9)+SUM('Cash Flows'!C11:C33))-N('Cash Flows'!C34),1)</f>
        <v>0</v>
      </c>
      <c r="D28" s="26">
        <f>ROUND((N('Cash Flows'!D9)+SUM('Cash Flows'!D11:D33))-N('Cash Flows'!D34),1)</f>
        <v>0</v>
      </c>
      <c r="E28" s="26">
        <f>ROUND((N('Cash Flows'!E9)+SUM('Cash Flows'!E11:E33))-N('Cash Flows'!E34),1)</f>
        <v>0</v>
      </c>
      <c r="F28" s="26">
        <f>ROUND((N('Cash Flows'!F9)+SUM('Cash Flows'!F11:F33))-N('Cash Flows'!F34),1)</f>
        <v>0</v>
      </c>
      <c r="G28" s="27" t="str">
        <f t="shared" ref="G28:G34" si="2">IF(AND(OR(B28="",B28=0),OR(C28="",C28=0),OR(D28="",D28=0),OR(E28="",E28=0),OR(F28="",F28=0)),"OK","CHECK")</f>
        <v>OK</v>
      </c>
    </row>
    <row r="29" spans="1:7" x14ac:dyDescent="0.2">
      <c r="A29" s="14" t="s">
        <v>169</v>
      </c>
      <c r="B29" s="26">
        <f>ROUND((N('Cash Flows'!B34)+N('Cash Flows'!B35))-N('Cash Flows'!B36),1)</f>
        <v>0</v>
      </c>
      <c r="C29" s="26">
        <f>ROUND((N('Cash Flows'!C34)+N('Cash Flows'!C35))-N('Cash Flows'!C36),1)</f>
        <v>0</v>
      </c>
      <c r="D29" s="26">
        <f>ROUND((N('Cash Flows'!D34)+N('Cash Flows'!D35))-N('Cash Flows'!D36),1)</f>
        <v>0</v>
      </c>
      <c r="E29" s="26">
        <f>ROUND((N('Cash Flows'!E34)+N('Cash Flows'!E35))-N('Cash Flows'!E36),1)</f>
        <v>0</v>
      </c>
      <c r="F29" s="26">
        <f>ROUND((N('Cash Flows'!F34)+N('Cash Flows'!F35))-N('Cash Flows'!F36),1)</f>
        <v>0</v>
      </c>
      <c r="G29" s="27" t="str">
        <f t="shared" si="2"/>
        <v>OK</v>
      </c>
    </row>
    <row r="30" spans="1:7" x14ac:dyDescent="0.2">
      <c r="A30" s="14" t="s">
        <v>182</v>
      </c>
      <c r="B30" s="26">
        <f>ROUND((SUM('Cash Flows'!B39:B49))-N('Cash Flows'!B50),1)</f>
        <v>0</v>
      </c>
      <c r="C30" s="26">
        <f>ROUND((SUM('Cash Flows'!C39:C49))-N('Cash Flows'!C50),1)</f>
        <v>0</v>
      </c>
      <c r="D30" s="26">
        <f>ROUND((SUM('Cash Flows'!D39:D49))-N('Cash Flows'!D50),1)</f>
        <v>0</v>
      </c>
      <c r="E30" s="26">
        <f>ROUND((SUM('Cash Flows'!E39:E49))-N('Cash Flows'!E50),1)</f>
        <v>0</v>
      </c>
      <c r="F30" s="26">
        <f>ROUND((SUM('Cash Flows'!F39:F49))-N('Cash Flows'!F50),1)</f>
        <v>0</v>
      </c>
      <c r="G30" s="27" t="str">
        <f t="shared" si="2"/>
        <v>OK</v>
      </c>
    </row>
    <row r="31" spans="1:7" x14ac:dyDescent="0.2">
      <c r="A31" s="14" t="s">
        <v>197</v>
      </c>
      <c r="B31" s="26">
        <f>ROUND((SUM('Cash Flows'!B53:B65))-N('Cash Flows'!B66),1)</f>
        <v>0</v>
      </c>
      <c r="C31" s="26">
        <f>ROUND((SUM('Cash Flows'!C53:C65))-N('Cash Flows'!C66),1)</f>
        <v>0</v>
      </c>
      <c r="D31" s="26">
        <f>ROUND((SUM('Cash Flows'!D53:D65))-N('Cash Flows'!D66),1)</f>
        <v>0</v>
      </c>
      <c r="E31" s="26">
        <f>ROUND((SUM('Cash Flows'!E53:E65))-N('Cash Flows'!E66),1)</f>
        <v>0</v>
      </c>
      <c r="F31" s="26">
        <f>ROUND((SUM('Cash Flows'!F53:F65))-N('Cash Flows'!F66),1)</f>
        <v>0</v>
      </c>
      <c r="G31" s="27" t="str">
        <f t="shared" si="2"/>
        <v>OK</v>
      </c>
    </row>
    <row r="32" spans="1:7" x14ac:dyDescent="0.2">
      <c r="A32" s="14" t="s">
        <v>319</v>
      </c>
      <c r="B32" s="26">
        <f>ROUND((N('Cash Flows'!B36)+N('Cash Flows'!B50)+N('Cash Flows'!B66))-N('Cash Flows'!B68),1)</f>
        <v>0</v>
      </c>
      <c r="C32" s="26">
        <f>ROUND((N('Cash Flows'!C36)+N('Cash Flows'!C50)+N('Cash Flows'!C66))-N('Cash Flows'!C68),1)</f>
        <v>0</v>
      </c>
      <c r="D32" s="26">
        <f>ROUND((N('Cash Flows'!D36)+N('Cash Flows'!D50)+N('Cash Flows'!D66))-N('Cash Flows'!D68),1)</f>
        <v>0</v>
      </c>
      <c r="E32" s="26">
        <f>ROUND((N('Cash Flows'!E36)+N('Cash Flows'!E50)+N('Cash Flows'!E66))-N('Cash Flows'!E68),1)</f>
        <v>0</v>
      </c>
      <c r="F32" s="26">
        <f>ROUND((N('Cash Flows'!F36)+N('Cash Flows'!F50)+N('Cash Flows'!F66))-N('Cash Flows'!F68),1)</f>
        <v>0</v>
      </c>
      <c r="G32" s="27" t="str">
        <f t="shared" si="2"/>
        <v>OK</v>
      </c>
    </row>
    <row r="33" spans="1:7" x14ac:dyDescent="0.2">
      <c r="A33" s="14" t="s">
        <v>200</v>
      </c>
      <c r="B33" s="26">
        <f>ROUND((N('Cash Flows'!B69)+N('Cash Flows'!B68))-N('Cash Flows'!B70),1)</f>
        <v>0</v>
      </c>
      <c r="C33" s="26">
        <f>ROUND((N('Cash Flows'!C69)+N('Cash Flows'!C68))-N('Cash Flows'!C70),1)</f>
        <v>0</v>
      </c>
      <c r="D33" s="26">
        <f>ROUND((N('Cash Flows'!D69)+N('Cash Flows'!D68))-N('Cash Flows'!D70),1)</f>
        <v>0</v>
      </c>
      <c r="E33" s="26">
        <f>ROUND((N('Cash Flows'!E69)+N('Cash Flows'!E68))-N('Cash Flows'!E70),1)</f>
        <v>0</v>
      </c>
      <c r="F33" s="26">
        <f>ROUND((N('Cash Flows'!F69)+N('Cash Flows'!F68))-N('Cash Flows'!F70),1)</f>
        <v>0</v>
      </c>
      <c r="G33" s="27" t="str">
        <f t="shared" si="2"/>
        <v>OK</v>
      </c>
    </row>
    <row r="34" spans="1:7" ht="27" customHeight="1" x14ac:dyDescent="0.2">
      <c r="A34" s="14" t="s">
        <v>320</v>
      </c>
      <c r="C34" s="26">
        <f>ROUND(N('Cash Flows'!C69)-N('Cash Flows'!B70),1)</f>
        <v>0</v>
      </c>
      <c r="D34" s="26">
        <f>ROUND(N('Cash Flows'!D69)-N('Cash Flows'!C70),1)</f>
        <v>0</v>
      </c>
      <c r="E34" s="26">
        <f>ROUND(N('Cash Flows'!E69)-N('Cash Flows'!D70),1)</f>
        <v>0</v>
      </c>
      <c r="F34" s="26">
        <f>ROUND(IF(ABS(N('Cash Flows'!F69)-N('Cash Flows'!E70))&lt;=0.5,0,N('Cash Flows'!F69)-N('Cash Flows'!E70)),1)</f>
        <v>0</v>
      </c>
      <c r="G34" s="27" t="str">
        <f t="shared" si="2"/>
        <v>OK</v>
      </c>
    </row>
    <row r="35" spans="1:7" x14ac:dyDescent="0.2">
      <c r="A35" s="25" t="s">
        <v>321</v>
      </c>
      <c r="B35" s="12"/>
      <c r="C35" s="12"/>
      <c r="D35" s="12"/>
      <c r="E35" s="12"/>
      <c r="F35" s="12"/>
      <c r="G35" s="12"/>
    </row>
    <row r="36" spans="1:7" x14ac:dyDescent="0.2">
      <c r="A36" s="14" t="s">
        <v>322</v>
      </c>
      <c r="B36" s="26">
        <f>ROUND(N('Cash Flows'!B70)-N('Balance Sheet'!B25),1)</f>
        <v>0</v>
      </c>
      <c r="C36" s="26">
        <f>ROUND(N('Cash Flows'!C70)-N('Balance Sheet'!C25),1)</f>
        <v>0</v>
      </c>
      <c r="D36" s="26">
        <f>ROUND(N('Cash Flows'!D70)-N('Balance Sheet'!D25),1)</f>
        <v>0</v>
      </c>
      <c r="E36" s="26">
        <f>ROUND(N('Cash Flows'!E70)-N('Balance Sheet'!E25),1)</f>
        <v>0</v>
      </c>
      <c r="F36" s="26">
        <f>ROUND(N('Cash Flows'!F70)-N('Balance Sheet'!F25),1)</f>
        <v>0</v>
      </c>
      <c r="G36" s="27" t="str">
        <f t="shared" ref="G36:G45" si="3">IF(AND(OR(B36="",B36=0),OR(C36="",C36=0),OR(D36="",D36=0),OR(E36="",E36=0),OR(F36="",F36=0)),"OK","CHECK")</f>
        <v>OK</v>
      </c>
    </row>
    <row r="37" spans="1:7" x14ac:dyDescent="0.2">
      <c r="A37" s="14" t="s">
        <v>323</v>
      </c>
      <c r="B37" s="26">
        <f>ROUND(N('Cash Flows'!B9)-N('Profit and Loss'!B33),1)</f>
        <v>0</v>
      </c>
      <c r="C37" s="26">
        <f>ROUND(N('Cash Flows'!C9)-N('Profit and Loss'!C33),1)</f>
        <v>0</v>
      </c>
      <c r="D37" s="26">
        <f>ROUND(N('Cash Flows'!D9)-N('Profit and Loss'!D33),1)</f>
        <v>0</v>
      </c>
      <c r="E37" s="26">
        <f>ROUND(N('Cash Flows'!E9)-N('Profit and Loss'!E33),1)</f>
        <v>0</v>
      </c>
      <c r="F37" s="26">
        <f>ROUND(N('Cash Flows'!F9)-N('Profit and Loss'!F33),1)</f>
        <v>0</v>
      </c>
      <c r="G37" s="27" t="str">
        <f t="shared" si="3"/>
        <v>OK</v>
      </c>
    </row>
    <row r="38" spans="1:7" x14ac:dyDescent="0.2">
      <c r="A38" s="14" t="s">
        <v>324</v>
      </c>
      <c r="B38" s="26">
        <f>ROUND(N('Cash Flows'!B12)-N('Profit and Loss'!B27),1)</f>
        <v>0</v>
      </c>
      <c r="C38" s="26">
        <f>ROUND(N('Cash Flows'!C12)-N('Profit and Loss'!C27),1)</f>
        <v>0</v>
      </c>
      <c r="D38" s="26">
        <f>ROUND(N('Cash Flows'!D12)-N('Profit and Loss'!D27),1)</f>
        <v>0</v>
      </c>
      <c r="E38" s="26">
        <f>ROUND(N('Cash Flows'!E12)-N('Profit and Loss'!E27),1)</f>
        <v>0</v>
      </c>
      <c r="F38" s="26">
        <f>ROUND(N('Cash Flows'!F12)-N('Profit and Loss'!F27),1)</f>
        <v>0</v>
      </c>
      <c r="G38" s="27" t="str">
        <f t="shared" si="3"/>
        <v>OK</v>
      </c>
    </row>
    <row r="39" spans="1:7" x14ac:dyDescent="0.2">
      <c r="A39" s="14" t="s">
        <v>325</v>
      </c>
      <c r="B39" s="26">
        <f>ROUND(N('Cash Flows'!B13)-N('Profit and Loss'!B28),1)</f>
        <v>0</v>
      </c>
      <c r="C39" s="26">
        <f>ROUND(N('Cash Flows'!C13)-N('Profit and Loss'!C28),1)</f>
        <v>0</v>
      </c>
      <c r="D39" s="26">
        <f>ROUND(N('Cash Flows'!D13)-N('Profit and Loss'!D28),1)</f>
        <v>0</v>
      </c>
      <c r="E39" s="26">
        <f>ROUND(N('Cash Flows'!E13)-N('Profit and Loss'!E28),1)</f>
        <v>0</v>
      </c>
      <c r="F39" s="26">
        <f>ROUND(N('Cash Flows'!F13)-N('Profit and Loss'!F28),1)</f>
        <v>0</v>
      </c>
      <c r="G39" s="27" t="str">
        <f t="shared" si="3"/>
        <v>OK</v>
      </c>
    </row>
    <row r="40" spans="1:7" x14ac:dyDescent="0.2">
      <c r="A40" s="14" t="s">
        <v>326</v>
      </c>
      <c r="B40" s="26">
        <f>ROUND(N('Cash Flows'!B20)-N('Profit and Loss'!B26),1)</f>
        <v>0</v>
      </c>
      <c r="C40" s="26">
        <f>ROUND(N('Cash Flows'!C20)-N('Profit and Loss'!C26),1)</f>
        <v>0</v>
      </c>
      <c r="D40" s="26">
        <f>ROUND(N('Cash Flows'!D20)-N('Profit and Loss'!D26),1)</f>
        <v>0</v>
      </c>
      <c r="E40" s="26">
        <f>ROUND(N('Cash Flows'!E20)-N('Profit and Loss'!E26),1)</f>
        <v>0</v>
      </c>
      <c r="F40" s="26">
        <f>ROUND(N('Cash Flows'!F20)-N('Profit and Loss'!F26),1)</f>
        <v>0</v>
      </c>
      <c r="G40" s="27" t="str">
        <f t="shared" si="3"/>
        <v>OK</v>
      </c>
    </row>
    <row r="41" spans="1:7" x14ac:dyDescent="0.2">
      <c r="A41" s="14" t="s">
        <v>327</v>
      </c>
      <c r="B41" s="26">
        <f>ROUND(N('Changes in Equity'!K30)-N('Profit and Loss'!B44),1)</f>
        <v>0</v>
      </c>
      <c r="C41" s="26">
        <f>ROUND(N('Changes in Equity'!K37)-N('Profit and Loss'!C44),1)</f>
        <v>0</v>
      </c>
      <c r="D41" s="26">
        <f>ROUND(N('Changes in Equity'!K46)-N('Profit and Loss'!D44),1)</f>
        <v>0</v>
      </c>
      <c r="E41" s="26">
        <f>ROUND(N('Changes in Equity'!K54)-N('Profit and Loss'!E44),1)</f>
        <v>0</v>
      </c>
      <c r="F41" s="26">
        <f>ROUND(N('Changes in Equity'!K65)-N('Profit and Loss'!F44),1)</f>
        <v>0</v>
      </c>
      <c r="G41" s="27" t="str">
        <f t="shared" si="3"/>
        <v>OK</v>
      </c>
    </row>
    <row r="42" spans="1:7" x14ac:dyDescent="0.2">
      <c r="A42" s="14" t="s">
        <v>328</v>
      </c>
      <c r="B42" s="26">
        <f>ROUND(N('Changes in Equity'!C9)-N('Balance Sheet'!B36),1)</f>
        <v>0</v>
      </c>
      <c r="C42" s="26">
        <f>ROUND(N('Changes in Equity'!C11)-N('Balance Sheet'!C36),1)</f>
        <v>0</v>
      </c>
      <c r="D42" s="26">
        <f>ROUND(N('Changes in Equity'!C14)-N('Balance Sheet'!D36),1)</f>
        <v>0</v>
      </c>
      <c r="E42" s="26">
        <f>ROUND(N('Changes in Equity'!C19)-N('Balance Sheet'!E36),1)</f>
        <v>0</v>
      </c>
      <c r="F42" s="26">
        <f>ROUND(N('Changes in Equity'!C21)-N('Balance Sheet'!F36),1)</f>
        <v>0</v>
      </c>
      <c r="G42" s="27" t="str">
        <f t="shared" si="3"/>
        <v>OK</v>
      </c>
    </row>
    <row r="43" spans="1:7" x14ac:dyDescent="0.2">
      <c r="A43" s="14" t="s">
        <v>329</v>
      </c>
      <c r="B43" s="26">
        <f>ROUND(N('Changes in Equity'!K33)-N('Balance Sheet'!B37),1)</f>
        <v>0</v>
      </c>
      <c r="C43" s="26">
        <f>ROUND(N('Changes in Equity'!K42)-N('Balance Sheet'!C37),1)</f>
        <v>0</v>
      </c>
      <c r="D43" s="26">
        <f>ROUND(N('Changes in Equity'!K50)-N('Balance Sheet'!D37),1)</f>
        <v>0</v>
      </c>
      <c r="E43" s="26">
        <f>ROUND(N('Changes in Equity'!K60)-N('Balance Sheet'!E37),1)</f>
        <v>0</v>
      </c>
      <c r="F43" s="26">
        <f>ROUND(N('Changes in Equity'!K69)-N('Balance Sheet'!F37),1)</f>
        <v>0</v>
      </c>
      <c r="G43" s="27" t="str">
        <f t="shared" si="3"/>
        <v>OK</v>
      </c>
    </row>
    <row r="44" spans="1:7" ht="27" customHeight="1" x14ac:dyDescent="0.2">
      <c r="A44" s="14" t="s">
        <v>330</v>
      </c>
      <c r="B44" s="26">
        <f>ROUND(N('Financing Liabilities'!B22)+N('Financing Liabilities'!C22)-(N('Balance Sheet'!B43)+N('Balance Sheet'!B44)+N('Balance Sheet'!B54)+N('Balance Sheet'!B55)+N('Balance Sheet'!B56)),1)</f>
        <v>0</v>
      </c>
      <c r="C44" s="26">
        <f>ROUND(N('Financing Liabilities'!B40)+N('Financing Liabilities'!C40)-(N('Balance Sheet'!C43)+N('Balance Sheet'!C44)+N('Balance Sheet'!C54)+N('Balance Sheet'!C55)+N('Balance Sheet'!C56)),1)</f>
        <v>0</v>
      </c>
      <c r="D44" s="26">
        <f>ROUND(N('Financing Liabilities'!B56)+N('Financing Liabilities'!C56)-(N('Balance Sheet'!D43)+N('Balance Sheet'!D44)+N('Balance Sheet'!D54)+N('Balance Sheet'!D55)+N('Balance Sheet'!D56)),1)</f>
        <v>0</v>
      </c>
      <c r="E44" s="26">
        <f>ROUND(N('Financing Liabilities'!B74)+N('Financing Liabilities'!C74)-(N('Balance Sheet'!E43)+N('Balance Sheet'!E44)+N('Balance Sheet'!E54)+N('Balance Sheet'!E55)+N('Balance Sheet'!E56)),1)</f>
        <v>0</v>
      </c>
      <c r="F44" s="26">
        <f>ROUND(N('Financing Liabilities'!B93)+N('Financing Liabilities'!C93)-(N('Balance Sheet'!F43)+N('Balance Sheet'!F44)+N('Balance Sheet'!F54)+N('Balance Sheet'!F55)+N('Balance Sheet'!F56)),1)</f>
        <v>0</v>
      </c>
      <c r="G44" s="27" t="str">
        <f t="shared" si="3"/>
        <v>OK</v>
      </c>
    </row>
    <row r="45" spans="1:7" x14ac:dyDescent="0.2">
      <c r="A45" s="14" t="s">
        <v>331</v>
      </c>
      <c r="B45" s="26">
        <f>ROUND(N('Financing Liabilities'!F22)-(N('Balance Sheet'!B45)+N('Balance Sheet'!B57)),1)</f>
        <v>0</v>
      </c>
      <c r="C45" s="26">
        <f>ROUND(N('Financing Liabilities'!F40)-(N('Balance Sheet'!C45)+N('Balance Sheet'!C57)),1)</f>
        <v>0</v>
      </c>
      <c r="D45" s="26">
        <f>ROUND(N('Financing Liabilities'!F56)-(N('Balance Sheet'!D45)+N('Balance Sheet'!D57)),1)</f>
        <v>0</v>
      </c>
      <c r="E45" s="26">
        <f>ROUND(N('Financing Liabilities'!F74)-(N('Balance Sheet'!E45)+N('Balance Sheet'!E57)),1)</f>
        <v>0</v>
      </c>
      <c r="F45" s="26">
        <f>ROUND(N('Financing Liabilities'!F93)-(N('Balance Sheet'!F45)+N('Balance Sheet'!F57)),1)</f>
        <v>0</v>
      </c>
      <c r="G45" s="27" t="str">
        <f t="shared" si="3"/>
        <v>OK</v>
      </c>
    </row>
    <row r="46" spans="1:7" x14ac:dyDescent="0.2">
      <c r="A46" s="25" t="s">
        <v>332</v>
      </c>
      <c r="B46" s="12"/>
      <c r="C46" s="12"/>
      <c r="D46" s="12"/>
      <c r="E46" s="12"/>
      <c r="F46" s="12"/>
      <c r="G46" s="12"/>
    </row>
    <row r="47" spans="1:7" x14ac:dyDescent="0.2">
      <c r="A47" s="14" t="s">
        <v>333</v>
      </c>
      <c r="B47" s="26">
        <f>ROUND(N('Changes in Equity'!B7)+N('Changes in Equity'!B8)-N('Changes in Equity'!B9),1)</f>
        <v>0</v>
      </c>
      <c r="C47" s="26">
        <f>ROUND(N('Changes in Equity'!B9)+N('Changes in Equity'!B10)-N('Changes in Equity'!B11),1)</f>
        <v>0</v>
      </c>
      <c r="D47" s="26">
        <f>ROUND(N('Changes in Equity'!B11)+N('Changes in Equity'!B12)+N('Changes in Equity'!B13)-N('Changes in Equity'!B14),1)</f>
        <v>0</v>
      </c>
      <c r="E47" s="26">
        <f>ROUND(N('Changes in Equity'!B14)+N('Changes in Equity'!B15)+N('Changes in Equity'!B16)+N('Changes in Equity'!B17)+N('Changes in Equity'!B18)-N('Changes in Equity'!B19),1)</f>
        <v>0</v>
      </c>
      <c r="F47" s="26">
        <f>ROUND(N('Changes in Equity'!B19)+N('Changes in Equity'!B20)-N('Changes in Equity'!B21),1)</f>
        <v>0</v>
      </c>
      <c r="G47" s="27" t="str">
        <f t="shared" ref="G47:G59" si="4">IF(AND(OR(B47="",B47=0),OR(C47="",C47=0),OR(D47="",D47=0),OR(E47="",E47=0),OR(F47="",F47=0)),"OK","CHECK")</f>
        <v>OK</v>
      </c>
    </row>
    <row r="48" spans="1:7" x14ac:dyDescent="0.2">
      <c r="A48" s="14" t="s">
        <v>334</v>
      </c>
      <c r="B48" s="26">
        <f>ROUND(N('Changes in Equity'!C7)+N('Changes in Equity'!C8)-N('Changes in Equity'!C9),1)</f>
        <v>0</v>
      </c>
      <c r="C48" s="26">
        <f>ROUND(N('Changes in Equity'!C9)+N('Changes in Equity'!C10)-N('Changes in Equity'!C11),1)</f>
        <v>0</v>
      </c>
      <c r="D48" s="26">
        <f>ROUND(N('Changes in Equity'!C11)+N('Changes in Equity'!C12)+N('Changes in Equity'!C13)-N('Changes in Equity'!C14),1)</f>
        <v>0</v>
      </c>
      <c r="E48" s="26">
        <f>ROUND(N('Changes in Equity'!C14)+N('Changes in Equity'!C15)+N('Changes in Equity'!C16)+N('Changes in Equity'!C17)+N('Changes in Equity'!C18)-N('Changes in Equity'!C19),1)</f>
        <v>0</v>
      </c>
      <c r="F48" s="26">
        <f>ROUND(N('Changes in Equity'!C19)+N('Changes in Equity'!C20)-N('Changes in Equity'!C21),1)</f>
        <v>0</v>
      </c>
      <c r="G48" s="27" t="str">
        <f t="shared" si="4"/>
        <v>OK</v>
      </c>
    </row>
    <row r="49" spans="1:7" x14ac:dyDescent="0.2">
      <c r="A49" s="14" t="s">
        <v>335</v>
      </c>
      <c r="B49" s="26">
        <f>ROUND(N('Changes in Equity'!B27)+N('Changes in Equity'!B28)+N('Changes in Equity'!B29)+N('Changes in Equity'!B31)+N('Changes in Equity'!B32)-N('Changes in Equity'!B33),1)</f>
        <v>0</v>
      </c>
      <c r="C49" s="26">
        <f>ROUND(N('Changes in Equity'!B33)+N('Changes in Equity'!B35)+N('Changes in Equity'!B36)+N('Changes in Equity'!B38)+N('Changes in Equity'!B39)+N('Changes in Equity'!B40)+N('Changes in Equity'!B41)-N('Changes in Equity'!B42),1)</f>
        <v>0</v>
      </c>
      <c r="D49" s="26">
        <f>ROUND(N('Changes in Equity'!B42)+N('Changes in Equity'!B44)+N('Changes in Equity'!B45)+N('Changes in Equity'!B47)+N('Changes in Equity'!B48)+N('Changes in Equity'!B49)-N('Changes in Equity'!B50),1)</f>
        <v>0</v>
      </c>
      <c r="E49" s="26">
        <f>ROUND(N('Changes in Equity'!B50)+N('Changes in Equity'!B52)+N('Changes in Equity'!B53)+N('Changes in Equity'!B55)+N('Changes in Equity'!B56)+N('Changes in Equity'!B57)+N('Changes in Equity'!B58)+N('Changes in Equity'!B59)-N('Changes in Equity'!B60),1)</f>
        <v>0</v>
      </c>
      <c r="F49" s="26">
        <f>ROUND(N('Changes in Equity'!B62)+N('Changes in Equity'!B63)+N('Changes in Equity'!B64)+N('Changes in Equity'!B66)+N('Changes in Equity'!B67)+N('Changes in Equity'!B68)-N('Changes in Equity'!B69),1)</f>
        <v>0</v>
      </c>
      <c r="G49" s="27" t="str">
        <f t="shared" si="4"/>
        <v>OK</v>
      </c>
    </row>
    <row r="50" spans="1:7" x14ac:dyDescent="0.2">
      <c r="A50" s="14" t="s">
        <v>336</v>
      </c>
      <c r="B50" s="26">
        <f>ROUND(N('Changes in Equity'!C27)+N('Changes in Equity'!C28)+N('Changes in Equity'!C29)+N('Changes in Equity'!C31)+N('Changes in Equity'!C32)-N('Changes in Equity'!C33),1)</f>
        <v>0</v>
      </c>
      <c r="C50" s="26">
        <f>ROUND(N('Changes in Equity'!C33)+N('Changes in Equity'!C35)+N('Changes in Equity'!C36)+N('Changes in Equity'!C38)+N('Changes in Equity'!C39)+N('Changes in Equity'!C40)+N('Changes in Equity'!C41)-N('Changes in Equity'!C42),1)</f>
        <v>0</v>
      </c>
      <c r="D50" s="26">
        <f>ROUND(N('Changes in Equity'!C42)+N('Changes in Equity'!C44)+N('Changes in Equity'!C45)+N('Changes in Equity'!C47)+N('Changes in Equity'!C48)+N('Changes in Equity'!C49)-N('Changes in Equity'!C50),1)</f>
        <v>0</v>
      </c>
      <c r="E50" s="26">
        <f>ROUND(N('Changes in Equity'!C50)+N('Changes in Equity'!C52)+N('Changes in Equity'!C53)+N('Changes in Equity'!C55)+N('Changes in Equity'!C56)+N('Changes in Equity'!C57)+N('Changes in Equity'!C58)+N('Changes in Equity'!C59)-N('Changes in Equity'!C60),1)</f>
        <v>0</v>
      </c>
      <c r="F50" s="26">
        <f>ROUND(N('Changes in Equity'!C62)+N('Changes in Equity'!C63)+N('Changes in Equity'!C64)+N('Changes in Equity'!C66)+N('Changes in Equity'!C67)+N('Changes in Equity'!C68)-N('Changes in Equity'!C69),1)</f>
        <v>0</v>
      </c>
      <c r="G50" s="27" t="str">
        <f t="shared" si="4"/>
        <v>OK</v>
      </c>
    </row>
    <row r="51" spans="1:7" x14ac:dyDescent="0.2">
      <c r="A51" s="14" t="s">
        <v>337</v>
      </c>
      <c r="B51" s="26">
        <f>ROUND(N('Changes in Equity'!D27)+N('Changes in Equity'!D28)+N('Changes in Equity'!D29)+N('Changes in Equity'!D31)+N('Changes in Equity'!D32)-N('Changes in Equity'!D33),1)</f>
        <v>0</v>
      </c>
      <c r="C51" s="26">
        <f>ROUND(N('Changes in Equity'!D33)+N('Changes in Equity'!D35)+N('Changes in Equity'!D36)+N('Changes in Equity'!D38)+N('Changes in Equity'!D39)+N('Changes in Equity'!D40)+N('Changes in Equity'!D41)-N('Changes in Equity'!D42),1)</f>
        <v>0</v>
      </c>
      <c r="D51" s="26">
        <f>ROUND(N('Changes in Equity'!D42)+N('Changes in Equity'!D44)+N('Changes in Equity'!D45)+N('Changes in Equity'!D47)+N('Changes in Equity'!D48)+N('Changes in Equity'!D49)-N('Changes in Equity'!D50),1)</f>
        <v>0</v>
      </c>
      <c r="E51" s="26">
        <f>ROUND(N('Changes in Equity'!D50)+N('Changes in Equity'!D52)+N('Changes in Equity'!D53)+N('Changes in Equity'!D55)+N('Changes in Equity'!D56)+N('Changes in Equity'!D57)+N('Changes in Equity'!D58)+N('Changes in Equity'!D59)-N('Changes in Equity'!D60),1)</f>
        <v>0</v>
      </c>
      <c r="F51" s="26">
        <f>ROUND(N('Changes in Equity'!D62)+N('Changes in Equity'!D63)+N('Changes in Equity'!D64)+N('Changes in Equity'!D66)+N('Changes in Equity'!D67)+N('Changes in Equity'!D68)-N('Changes in Equity'!D69),1)</f>
        <v>0</v>
      </c>
      <c r="G51" s="27" t="str">
        <f t="shared" si="4"/>
        <v>OK</v>
      </c>
    </row>
    <row r="52" spans="1:7" x14ac:dyDescent="0.2">
      <c r="A52" s="14" t="s">
        <v>338</v>
      </c>
      <c r="B52" s="26">
        <f>ROUND(N('Changes in Equity'!E27)+N('Changes in Equity'!E28)+N('Changes in Equity'!E29)+N('Changes in Equity'!E31)+N('Changes in Equity'!E32)-N('Changes in Equity'!E33),1)</f>
        <v>0</v>
      </c>
      <c r="C52" s="26">
        <f>ROUND(N('Changes in Equity'!E33)+N('Changes in Equity'!E35)+N('Changes in Equity'!E36)+N('Changes in Equity'!E38)+N('Changes in Equity'!E39)+N('Changes in Equity'!E40)+N('Changes in Equity'!E41)-N('Changes in Equity'!E42),1)</f>
        <v>0</v>
      </c>
      <c r="D52" s="26">
        <f>ROUND(N('Changes in Equity'!E42)+N('Changes in Equity'!E44)+N('Changes in Equity'!E45)+N('Changes in Equity'!E47)+N('Changes in Equity'!E48)+N('Changes in Equity'!E49)-N('Changes in Equity'!E50),1)</f>
        <v>0</v>
      </c>
      <c r="E52" s="26">
        <f>ROUND(N('Changes in Equity'!E50)+N('Changes in Equity'!E52)+N('Changes in Equity'!E53)+N('Changes in Equity'!E55)+N('Changes in Equity'!E56)+N('Changes in Equity'!E57)+N('Changes in Equity'!E58)+N('Changes in Equity'!E59)-N('Changes in Equity'!E60),1)</f>
        <v>0</v>
      </c>
      <c r="F52" s="26">
        <f>ROUND(N('Changes in Equity'!E62)+N('Changes in Equity'!E63)+N('Changes in Equity'!E64)+N('Changes in Equity'!E66)+N('Changes in Equity'!E67)+N('Changes in Equity'!E68)-N('Changes in Equity'!E69),1)</f>
        <v>0</v>
      </c>
      <c r="G52" s="27" t="str">
        <f t="shared" si="4"/>
        <v>OK</v>
      </c>
    </row>
    <row r="53" spans="1:7" ht="27" customHeight="1" x14ac:dyDescent="0.2">
      <c r="A53" s="14" t="s">
        <v>339</v>
      </c>
      <c r="B53" s="26">
        <f>ROUND(N('Changes in Equity'!F27)+N('Changes in Equity'!F28)+N('Changes in Equity'!F29)+N('Changes in Equity'!F31)+N('Changes in Equity'!F32)-N('Changes in Equity'!F33),1)</f>
        <v>0</v>
      </c>
      <c r="C53" s="26">
        <f>ROUND(N('Changes in Equity'!F33)+N('Changes in Equity'!F35)+N('Changes in Equity'!F36)+N('Changes in Equity'!F38)+N('Changes in Equity'!F39)+N('Changes in Equity'!F40)+N('Changes in Equity'!F41)-N('Changes in Equity'!F42),1)</f>
        <v>0</v>
      </c>
      <c r="D53" s="26">
        <f>ROUND(N('Changes in Equity'!F42)+N('Changes in Equity'!F44)+N('Changes in Equity'!F45)+N('Changes in Equity'!F47)+N('Changes in Equity'!F48)+N('Changes in Equity'!F49)-N('Changes in Equity'!F50),1)</f>
        <v>0</v>
      </c>
      <c r="E53" s="26">
        <f>ROUND(N('Changes in Equity'!F50)+N('Changes in Equity'!F52)+N('Changes in Equity'!F53)+N('Changes in Equity'!F55)+N('Changes in Equity'!F56)+N('Changes in Equity'!F57)+N('Changes in Equity'!F58)+N('Changes in Equity'!F59)-N('Changes in Equity'!F60),1)</f>
        <v>0</v>
      </c>
      <c r="F53" s="26">
        <f>ROUND(N('Changes in Equity'!F62)+N('Changes in Equity'!F63)+N('Changes in Equity'!F64)+N('Changes in Equity'!F66)+N('Changes in Equity'!F67)+N('Changes in Equity'!F68)-N('Changes in Equity'!F69),1)</f>
        <v>0</v>
      </c>
      <c r="G53" s="27" t="str">
        <f t="shared" si="4"/>
        <v>OK</v>
      </c>
    </row>
    <row r="54" spans="1:7" x14ac:dyDescent="0.2">
      <c r="A54" s="14" t="s">
        <v>340</v>
      </c>
      <c r="B54" s="26">
        <f>ROUND(N('Changes in Equity'!G27)+N('Changes in Equity'!G28)+N('Changes in Equity'!G29)+N('Changes in Equity'!G31)+N('Changes in Equity'!G32)-N('Changes in Equity'!G33),1)</f>
        <v>0</v>
      </c>
      <c r="C54" s="26">
        <f>ROUND(N('Changes in Equity'!G33)+N('Changes in Equity'!G35)+N('Changes in Equity'!G36)+N('Changes in Equity'!G38)+N('Changes in Equity'!G39)+N('Changes in Equity'!G40)+N('Changes in Equity'!G41)-N('Changes in Equity'!G42),1)</f>
        <v>0</v>
      </c>
      <c r="D54" s="26">
        <f>ROUND(N('Changes in Equity'!G42)+N('Changes in Equity'!G44)+N('Changes in Equity'!G45)+N('Changes in Equity'!G47)+N('Changes in Equity'!G48)+N('Changes in Equity'!G49)-N('Changes in Equity'!G50),1)</f>
        <v>0</v>
      </c>
      <c r="E54" s="26">
        <f>ROUND(N('Changes in Equity'!G50)+N('Changes in Equity'!G52)+N('Changes in Equity'!G53)+N('Changes in Equity'!G55)+N('Changes in Equity'!G56)+N('Changes in Equity'!G57)+N('Changes in Equity'!G58)+N('Changes in Equity'!G59)-N('Changes in Equity'!G60),1)</f>
        <v>0</v>
      </c>
      <c r="F54" s="26">
        <f>ROUND(N('Changes in Equity'!G62)+N('Changes in Equity'!G63)+N('Changes in Equity'!G64)+N('Changes in Equity'!G66)+N('Changes in Equity'!G67)+N('Changes in Equity'!G68)-N('Changes in Equity'!G69),1)</f>
        <v>0</v>
      </c>
      <c r="G54" s="27" t="str">
        <f t="shared" si="4"/>
        <v>OK</v>
      </c>
    </row>
    <row r="55" spans="1:7" x14ac:dyDescent="0.2">
      <c r="A55" s="14" t="s">
        <v>341</v>
      </c>
      <c r="B55" s="26">
        <f>ROUND(N('Changes in Equity'!H27)+N('Changes in Equity'!H28)+N('Changes in Equity'!H29)+N('Changes in Equity'!H31)+N('Changes in Equity'!H32)-N('Changes in Equity'!H33),1)</f>
        <v>0</v>
      </c>
      <c r="C55" s="26">
        <f>ROUND(N('Changes in Equity'!H33)+N('Changes in Equity'!H35)+N('Changes in Equity'!H36)+N('Changes in Equity'!H38)+N('Changes in Equity'!H39)+N('Changes in Equity'!H40)+N('Changes in Equity'!H41)-N('Changes in Equity'!H42),1)</f>
        <v>0</v>
      </c>
      <c r="D55" s="26">
        <f>ROUND(N('Changes in Equity'!H42)+N('Changes in Equity'!H44)+N('Changes in Equity'!H45)+N('Changes in Equity'!H47)+N('Changes in Equity'!H48)+N('Changes in Equity'!H49)-N('Changes in Equity'!H50),1)</f>
        <v>0</v>
      </c>
      <c r="E55" s="26">
        <f>ROUND(N('Changes in Equity'!H50)+N('Changes in Equity'!H52)+N('Changes in Equity'!H53)+N('Changes in Equity'!H55)+N('Changes in Equity'!H56)+N('Changes in Equity'!H57)+N('Changes in Equity'!H58)+N('Changes in Equity'!H59)-N('Changes in Equity'!H60),1)</f>
        <v>0</v>
      </c>
      <c r="F55" s="26">
        <f>ROUND(N('Changes in Equity'!H62)+N('Changes in Equity'!H63)+N('Changes in Equity'!H64)+N('Changes in Equity'!H66)+N('Changes in Equity'!H67)+N('Changes in Equity'!H68)-N('Changes in Equity'!H69),1)</f>
        <v>0</v>
      </c>
      <c r="G55" s="27" t="str">
        <f t="shared" si="4"/>
        <v>OK</v>
      </c>
    </row>
    <row r="56" spans="1:7" x14ac:dyDescent="0.2">
      <c r="A56" s="14" t="s">
        <v>342</v>
      </c>
      <c r="B56" s="26">
        <f>ROUND(N('Changes in Equity'!I27)+N('Changes in Equity'!I28)+N('Changes in Equity'!I29)+N('Changes in Equity'!I31)+N('Changes in Equity'!I32)-N('Changes in Equity'!I33),1)</f>
        <v>0</v>
      </c>
      <c r="C56" s="26">
        <f>ROUND(N('Changes in Equity'!I33)+N('Changes in Equity'!I35)+N('Changes in Equity'!I36)+N('Changes in Equity'!I38)+N('Changes in Equity'!I39)+N('Changes in Equity'!I40)+N('Changes in Equity'!I41)-N('Changes in Equity'!I42),1)</f>
        <v>0</v>
      </c>
      <c r="D56" s="26">
        <f>ROUND(N('Changes in Equity'!I42)+N('Changes in Equity'!I44)+N('Changes in Equity'!I45)+N('Changes in Equity'!I47)+N('Changes in Equity'!I48)+N('Changes in Equity'!I49)-N('Changes in Equity'!I50),1)</f>
        <v>0</v>
      </c>
      <c r="E56" s="26">
        <f>ROUND(N('Changes in Equity'!I50)+N('Changes in Equity'!I52)+N('Changes in Equity'!I53)+N('Changes in Equity'!I55)+N('Changes in Equity'!I56)+N('Changes in Equity'!I57)+N('Changes in Equity'!I58)+N('Changes in Equity'!I59)-N('Changes in Equity'!I60),1)</f>
        <v>0</v>
      </c>
      <c r="F56" s="26">
        <f>ROUND(N('Changes in Equity'!I62)+N('Changes in Equity'!I63)+N('Changes in Equity'!I64)+N('Changes in Equity'!I66)+N('Changes in Equity'!I67)+N('Changes in Equity'!I68)-N('Changes in Equity'!I69),1)</f>
        <v>0</v>
      </c>
      <c r="G56" s="27" t="str">
        <f t="shared" si="4"/>
        <v>OK</v>
      </c>
    </row>
    <row r="57" spans="1:7" ht="27" customHeight="1" x14ac:dyDescent="0.2">
      <c r="A57" s="14" t="s">
        <v>343</v>
      </c>
      <c r="B57" s="26">
        <f>ROUND(N('Changes in Equity'!J27)+N('Changes in Equity'!J28)+N('Changes in Equity'!J29)+N('Changes in Equity'!J31)+N('Changes in Equity'!J32)-N('Changes in Equity'!J33),1)</f>
        <v>0</v>
      </c>
      <c r="C57" s="26">
        <f>ROUND(N('Changes in Equity'!J33)+N('Changes in Equity'!J35)+N('Changes in Equity'!J36)+N('Changes in Equity'!J38)+N('Changes in Equity'!J39)+N('Changes in Equity'!J40)+N('Changes in Equity'!J41)-N('Changes in Equity'!J42),1)</f>
        <v>0</v>
      </c>
      <c r="D57" s="26">
        <f>ROUND(N('Changes in Equity'!J42)+N('Changes in Equity'!J44)+N('Changes in Equity'!J45)+N('Changes in Equity'!J47)+N('Changes in Equity'!J48)+N('Changes in Equity'!J49)-N('Changes in Equity'!J50),1)</f>
        <v>0</v>
      </c>
      <c r="E57" s="26">
        <f>ROUND(N('Changes in Equity'!J50)+N('Changes in Equity'!J52)+N('Changes in Equity'!J53)+N('Changes in Equity'!J55)+N('Changes in Equity'!J56)+N('Changes in Equity'!J57)+N('Changes in Equity'!J58)+N('Changes in Equity'!J59)-N('Changes in Equity'!J60),1)</f>
        <v>0</v>
      </c>
      <c r="F57" s="26">
        <f>ROUND(N('Changes in Equity'!J62)+N('Changes in Equity'!J63)+N('Changes in Equity'!J64)+N('Changes in Equity'!J66)+N('Changes in Equity'!J67)+N('Changes in Equity'!J68)-N('Changes in Equity'!J69),1)</f>
        <v>0</v>
      </c>
      <c r="G57" s="27" t="str">
        <f t="shared" si="4"/>
        <v>OK</v>
      </c>
    </row>
    <row r="58" spans="1:7" x14ac:dyDescent="0.2">
      <c r="A58" s="14" t="s">
        <v>344</v>
      </c>
      <c r="B58" s="26">
        <f>ROUND(N('Changes in Equity'!K27)+N('Changes in Equity'!K28)+N('Changes in Equity'!K29)+N('Changes in Equity'!K31)+N('Changes in Equity'!K32)-N('Changes in Equity'!K33),1)</f>
        <v>0</v>
      </c>
      <c r="C58" s="26">
        <f>ROUND(N('Changes in Equity'!K33)+N('Changes in Equity'!K35)+N('Changes in Equity'!K36)+N('Changes in Equity'!K38)+N('Changes in Equity'!K39)+N('Changes in Equity'!K40)+N('Changes in Equity'!K41)-N('Changes in Equity'!K42),1)</f>
        <v>0</v>
      </c>
      <c r="D58" s="26">
        <f>ROUND(N('Changes in Equity'!K42)+N('Changes in Equity'!K44)+N('Changes in Equity'!K45)+N('Changes in Equity'!K47)+N('Changes in Equity'!K48)+N('Changes in Equity'!K49)-N('Changes in Equity'!K50),1)</f>
        <v>0</v>
      </c>
      <c r="E58" s="26">
        <f>ROUND(N('Changes in Equity'!K50)+N('Changes in Equity'!K52)+N('Changes in Equity'!K53)+N('Changes in Equity'!K55)+N('Changes in Equity'!K56)+N('Changes in Equity'!K57)+N('Changes in Equity'!K58)+N('Changes in Equity'!K59)-N('Changes in Equity'!K60),1)</f>
        <v>0</v>
      </c>
      <c r="F58" s="26">
        <f>ROUND(N('Changes in Equity'!K62)+N('Changes in Equity'!K63)+N('Changes in Equity'!K64)+N('Changes in Equity'!K66)+N('Changes in Equity'!K67)+N('Changes in Equity'!K68)-N('Changes in Equity'!K69),1)</f>
        <v>0</v>
      </c>
      <c r="G58" s="27" t="str">
        <f t="shared" si="4"/>
        <v>OK</v>
      </c>
    </row>
    <row r="59" spans="1:7" x14ac:dyDescent="0.2">
      <c r="A59" s="14" t="s">
        <v>345</v>
      </c>
      <c r="B59" s="26">
        <f>ROUND(SUM('Changes in Equity'!B33:J33)-N('Changes in Equity'!K33),1)</f>
        <v>0</v>
      </c>
      <c r="C59" s="26">
        <f>ROUND(SUM('Changes in Equity'!B42:J42)-N('Changes in Equity'!K42),1)</f>
        <v>0</v>
      </c>
      <c r="D59" s="26">
        <f>ROUND(SUM('Changes in Equity'!B50:J50)-N('Changes in Equity'!K50),1)</f>
        <v>0</v>
      </c>
      <c r="E59" s="26">
        <f>ROUND(SUM('Changes in Equity'!B60:J60)-N('Changes in Equity'!K60),1)</f>
        <v>0</v>
      </c>
      <c r="F59" s="26">
        <f>ROUND(SUM('Changes in Equity'!B69:J69)-N('Changes in Equity'!K69),1)</f>
        <v>0</v>
      </c>
      <c r="G59" s="27" t="str">
        <f t="shared" si="4"/>
        <v>OK</v>
      </c>
    </row>
    <row r="60" spans="1:7" x14ac:dyDescent="0.2">
      <c r="A60" s="25" t="s">
        <v>346</v>
      </c>
      <c r="B60" s="12"/>
      <c r="C60" s="12"/>
      <c r="D60" s="12"/>
      <c r="E60" s="12"/>
      <c r="F60" s="12"/>
      <c r="G60" s="12"/>
    </row>
    <row r="61" spans="1:7" x14ac:dyDescent="0.2">
      <c r="A61" s="14" t="s">
        <v>347</v>
      </c>
      <c r="B61" s="26">
        <f>ROUND(N('Financing Liabilities'!B7)+SUM('Financing Liabilities'!B9:B21)-N('Financing Liabilities'!B22),1)</f>
        <v>0</v>
      </c>
      <c r="C61" s="26">
        <f>ROUND(N('Financing Liabilities'!B22)+SUM('Financing Liabilities'!B25:B39)-N('Financing Liabilities'!B40),1)</f>
        <v>0</v>
      </c>
      <c r="D61" s="26">
        <f>ROUND(N('Financing Liabilities'!B40)+SUM('Financing Liabilities'!B43:B55)-N('Financing Liabilities'!B56),1)</f>
        <v>0</v>
      </c>
      <c r="E61" s="26">
        <f>ROUND(N('Financing Liabilities'!B56)+SUM('Financing Liabilities'!B59:B73)-N('Financing Liabilities'!B74),1)</f>
        <v>0</v>
      </c>
      <c r="F61" s="26">
        <f>ROUND(N('Financing Liabilities'!B76)+SUM('Financing Liabilities'!B78:B92)-N('Financing Liabilities'!B93),1)</f>
        <v>0</v>
      </c>
      <c r="G61" s="27" t="str">
        <f>IF(AND(OR(B61="",B61=0),OR(C61="",C61=0),OR(D61="",D61=0),OR(E61="",E61=0),OR(F61="",F61=0)),"OK","CHECK")</f>
        <v>OK</v>
      </c>
    </row>
    <row r="62" spans="1:7" x14ac:dyDescent="0.2">
      <c r="A62" s="14" t="s">
        <v>348</v>
      </c>
      <c r="B62" s="26">
        <f>ROUND(N('Financing Liabilities'!C7)+SUM('Financing Liabilities'!C9:C21)-N('Financing Liabilities'!C22),1)</f>
        <v>0</v>
      </c>
      <c r="C62" s="26">
        <f>ROUND(N('Financing Liabilities'!C22)+SUM('Financing Liabilities'!C25:C39)-N('Financing Liabilities'!C40),1)</f>
        <v>0</v>
      </c>
      <c r="D62" s="26">
        <f>ROUND(N('Financing Liabilities'!C40)+SUM('Financing Liabilities'!C43:C55)-N('Financing Liabilities'!C56),1)</f>
        <v>0</v>
      </c>
      <c r="E62" s="26">
        <f>ROUND(N('Financing Liabilities'!C56)+SUM('Financing Liabilities'!C59:C73)-N('Financing Liabilities'!C74),1)</f>
        <v>0</v>
      </c>
      <c r="F62" s="26">
        <f>ROUND(N('Financing Liabilities'!C76)+SUM('Financing Liabilities'!C78:C92)-N('Financing Liabilities'!C93),1)</f>
        <v>0</v>
      </c>
      <c r="G62" s="27" t="str">
        <f>IF(AND(OR(B62="",B62=0),OR(C62="",C62=0),OR(D62="",D62=0),OR(E62="",E62=0),OR(F62="",F62=0)),"OK","CHECK")</f>
        <v>OK</v>
      </c>
    </row>
    <row r="63" spans="1:7" x14ac:dyDescent="0.2">
      <c r="A63" s="14" t="s">
        <v>349</v>
      </c>
      <c r="B63" s="26">
        <f>ROUND(N('Financing Liabilities'!D7)+SUM('Financing Liabilities'!D9:D21)-N('Financing Liabilities'!D22),1)</f>
        <v>0</v>
      </c>
      <c r="C63" s="26">
        <f>ROUND(N('Financing Liabilities'!D22)+SUM('Financing Liabilities'!D25:D39)-N('Financing Liabilities'!D40),1)</f>
        <v>0</v>
      </c>
      <c r="D63" s="26">
        <f>ROUND(N('Financing Liabilities'!D40)+SUM('Financing Liabilities'!D43:D55)-N('Financing Liabilities'!D56),1)</f>
        <v>0</v>
      </c>
      <c r="E63" s="26">
        <f>ROUND(N('Financing Liabilities'!D56)+SUM('Financing Liabilities'!D59:D73)-N('Financing Liabilities'!D74),1)</f>
        <v>0</v>
      </c>
      <c r="F63" s="26">
        <f>ROUND(N('Financing Liabilities'!D76)+SUM('Financing Liabilities'!D78:D92)-N('Financing Liabilities'!D93),1)</f>
        <v>0</v>
      </c>
      <c r="G63" s="27" t="str">
        <f>IF(AND(OR(B63="",B63=0),OR(C63="",C63=0),OR(D63="",D63=0),OR(E63="",E63=0),OR(F63="",F63=0)),"OK","CHECK")</f>
        <v>OK</v>
      </c>
    </row>
    <row r="64" spans="1:7" x14ac:dyDescent="0.2">
      <c r="A64" s="14" t="s">
        <v>350</v>
      </c>
      <c r="B64" s="26">
        <f>ROUND(N('Financing Liabilities'!E7)+SUM('Financing Liabilities'!E9:E21)-N('Financing Liabilities'!E22),1)</f>
        <v>0</v>
      </c>
      <c r="C64" s="26">
        <f>ROUND(N('Financing Liabilities'!E22)+SUM('Financing Liabilities'!E25:E39)-N('Financing Liabilities'!E40),1)</f>
        <v>0</v>
      </c>
      <c r="D64" s="26">
        <f>ROUND(N('Financing Liabilities'!E40)+SUM('Financing Liabilities'!E43:E55)-N('Financing Liabilities'!E56),1)</f>
        <v>0</v>
      </c>
      <c r="E64" s="26">
        <f>ROUND(N('Financing Liabilities'!E56)+SUM('Financing Liabilities'!E59:E73)-N('Financing Liabilities'!E74),1)</f>
        <v>0</v>
      </c>
      <c r="F64" s="26">
        <f>ROUND(N('Financing Liabilities'!E76)+SUM('Financing Liabilities'!E78:E92)-N('Financing Liabilities'!E93),1)</f>
        <v>0</v>
      </c>
      <c r="G64" s="27" t="str">
        <f>IF(AND(OR(B64="",B64=0),OR(C64="",C64=0),OR(D64="",D64=0),OR(E64="",E64=0),OR(F64="",F64=0)),"OK","CHECK")</f>
        <v>OK</v>
      </c>
    </row>
    <row r="65" spans="1:7" x14ac:dyDescent="0.2">
      <c r="A65" s="14" t="s">
        <v>351</v>
      </c>
      <c r="B65" s="26">
        <f>ROUND(N('Financing Liabilities'!F7)+SUM('Financing Liabilities'!F9:F21)-N('Financing Liabilities'!F22),1)</f>
        <v>0</v>
      </c>
      <c r="C65" s="26">
        <f>ROUND(N('Financing Liabilities'!F22)+SUM('Financing Liabilities'!F25:F39)-N('Financing Liabilities'!F40),1)</f>
        <v>0</v>
      </c>
      <c r="D65" s="26">
        <f>ROUND(N('Financing Liabilities'!F40)+SUM('Financing Liabilities'!F43:F55)-N('Financing Liabilities'!F56),1)</f>
        <v>0</v>
      </c>
      <c r="E65" s="26">
        <f>ROUND(N('Financing Liabilities'!F56)+SUM('Financing Liabilities'!F59:F73)-N('Financing Liabilities'!F74),1)</f>
        <v>0</v>
      </c>
      <c r="F65" s="26">
        <f>ROUND(N('Financing Liabilities'!F76)+SUM('Financing Liabilities'!F78:F92)-N('Financing Liabilities'!F93),1)</f>
        <v>0</v>
      </c>
      <c r="G65" s="27" t="str">
        <f>IF(AND(OR(B65="",B65=0),OR(C65="",C65=0),OR(D65="",D65=0),OR(E65="",E65=0),OR(F65="",F65=0)),"OK","CHECK")</f>
        <v>OK</v>
      </c>
    </row>
    <row r="67" spans="1:7" x14ac:dyDescent="0.2">
      <c r="A67" s="9" t="s">
        <v>352</v>
      </c>
    </row>
    <row r="68" spans="1:7" x14ac:dyDescent="0.2">
      <c r="A68" s="9" t="s">
        <v>353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3 Statement Model</vt:lpstr>
      <vt:lpstr>Notes</vt:lpstr>
      <vt:lpstr>Balance Sheet</vt:lpstr>
      <vt:lpstr>Profit and Loss</vt:lpstr>
      <vt:lpstr>Cash Flows</vt:lpstr>
      <vt:lpstr>Changes in Equity</vt:lpstr>
      <vt:lpstr>Financing Liabilities</vt:lpstr>
      <vt:lpstr>Tie-out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Naveen Ponnada</cp:lastModifiedBy>
  <cp:revision>0</cp:revision>
  <dcterms:created xsi:type="dcterms:W3CDTF">2026-10-18T07:24:21Z</dcterms:created>
  <dcterms:modified xsi:type="dcterms:W3CDTF">2026-10-20T18:48:20Z</dcterms:modified>
  <dc:language>en-US</dc:language>
</cp:coreProperties>
</file>